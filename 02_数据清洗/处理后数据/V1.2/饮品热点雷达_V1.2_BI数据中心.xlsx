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1.xml" ContentType="application/vnd.openxmlformats-officedocument.spreadsheetml.table+xml"/>
  <Override PartName="/xl/worksheets/sheet14.xml" ContentType="application/vnd.openxmlformats-officedocument.spreadsheetml.worksheet+xml"/>
  <Override PartName="/xl/tables/table12.xml" ContentType="application/vnd.openxmlformats-officedocument.spreadsheetml.table+xml"/>
  <Override PartName="/xl/worksheets/sheet15.xml" ContentType="application/vnd.openxmlformats-officedocument.spreadsheetml.worksheet+xml"/>
  <Override PartName="/xl/tables/table13.xml" ContentType="application/vnd.openxmlformats-officedocument.spreadsheetml.table+xml"/>
  <Override PartName="/xl/worksheets/sheet16.xml" ContentType="application/vnd.openxmlformats-officedocument.spreadsheetml.worksheet+xml"/>
  <Override PartName="/xl/tables/table1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cbc39aecc164d8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使用说明" sheetId="1" r:id="R9e91d793db134b42"/>
    <x:sheet xmlns:r="http://schemas.openxmlformats.org/officeDocument/2006/relationships" name="BI总览" sheetId="2" r:id="R4ecac4f7874b4942"/>
    <x:sheet xmlns:r="http://schemas.openxmlformats.org/officeDocument/2006/relationships" name="周度总表" sheetId="3" r:id="R4240b6bbf9e049ef"/>
    <x:sheet xmlns:r="http://schemas.openxmlformats.org/officeDocument/2006/relationships" name="主题指标" sheetId="4" r:id="R807b28283ebc413f"/>
    <x:sheet xmlns:r="http://schemas.openxmlformats.org/officeDocument/2006/relationships" name="标签指标" sheetId="5" r:id="R26fcb02f6664408a"/>
    <x:sheet xmlns:r="http://schemas.openxmlformats.org/officeDocument/2006/relationships" name="品类" sheetId="6" r:id="R0e68e1c568fc4ebc"/>
    <x:sheet xmlns:r="http://schemas.openxmlformats.org/officeDocument/2006/relationships" name="原料" sheetId="7" r:id="R63f0e26c05034866"/>
    <x:sheet xmlns:r="http://schemas.openxmlformats.org/officeDocument/2006/relationships" name="联名" sheetId="8" r:id="R40941ecf6d4c4315"/>
    <x:sheet xmlns:r="http://schemas.openxmlformats.org/officeDocument/2006/relationships" name="促销" sheetId="9" r:id="R7d7daf8b33114e1a"/>
    <x:sheet xmlns:r="http://schemas.openxmlformats.org/officeDocument/2006/relationships" name="品牌" sheetId="10" r:id="R7b44534fa9394051"/>
    <x:sheet xmlns:r="http://schemas.openxmlformats.org/officeDocument/2006/relationships" name="热点选题" sheetId="11" r:id="R06ee5819a4a241f3"/>
    <x:sheet xmlns:r="http://schemas.openxmlformats.org/officeDocument/2006/relationships" name="质量与复核" sheetId="12" r:id="R4ce7fb12119749a7"/>
    <x:sheet xmlns:r="http://schemas.openxmlformats.org/officeDocument/2006/relationships" name="明细导航" sheetId="13" r:id="R30dfabebd5d84d13"/>
    <x:sheet xmlns:r="http://schemas.openxmlformats.org/officeDocument/2006/relationships" name="字段字典" sheetId="14" r:id="Re58f65155b254c98"/>
    <x:sheet xmlns:r="http://schemas.openxmlformats.org/officeDocument/2006/relationships" name="指标字典" sheetId="15" r:id="Rb295977510dd43fa"/>
    <x:sheet xmlns:r="http://schemas.openxmlformats.org/officeDocument/2006/relationships" name="标签字典" sheetId="16" r:id="R921bc3274bcf441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yyyy-mm-dd"/>
    <x:numFmt numFmtId="201" formatCode="#,##0"/>
    <x:numFmt numFmtId="202" formatCode="0.0%"/>
    <x:numFmt numFmtId="203" formatCode="#,##0.0"/>
    <x:numFmt numFmtId="204" formatCode="yyyy-mm-dd hh:mm"/>
  </x:numFmts>
  <x:fonts count="12">
    <x:font>
      <x:sz val="11"/>
      <x:name val="Carlito"/>
    </x:font>
    <x:font>
      <x:b/>
      <x:sz val="20"/>
      <x:color rgb="FFFFFFFF"/>
      <x:name val="Songti SC"/>
    </x:font>
    <x:font>
      <x:sz val="10"/>
      <x:color rgb="FF667067"/>
      <x:name val="PingFang SC"/>
    </x:font>
    <x:font>
      <x:b/>
      <x:sz val="11"/>
      <x:color rgb="FFFFFFFF"/>
      <x:name val="Carlito"/>
    </x:font>
    <x:font>
      <x:sz val="11"/>
      <x:color rgb="FF1D2621"/>
      <x:name val="PingFang SC"/>
    </x:font>
    <x:font>
      <x:b/>
      <x:sz val="10"/>
      <x:color rgb="FFFFFFFF"/>
      <x:name val="PingFang SC"/>
    </x:font>
    <x:font>
      <x:sz val="9"/>
      <x:color rgb="FF1D2621"/>
      <x:name val="PingFang SC"/>
    </x:font>
    <x:font>
      <x:b/>
      <x:sz val="10"/>
      <x:color rgb="FF203E34"/>
      <x:name val="PingFang SC"/>
    </x:font>
    <x:font>
      <x:b/>
      <x:sz val="24"/>
      <x:color rgb="FF1D2621"/>
      <x:name val="Songti SC"/>
    </x:font>
    <x:font>
      <x:sz val="9"/>
      <x:color rgb="FF667067"/>
      <x:name val="PingFang SC"/>
    </x:font>
    <x:font>
      <x:b/>
      <x:sz val="10"/>
      <x:color rgb="FF1D2621"/>
      <x:name val="Carlito"/>
    </x:font>
    <x:font>
      <x:b/>
      <x:sz val="10"/>
      <x:color rgb="FF3F765B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203E34"/>
      </x:patternFill>
    </x:fill>
    <x:fill>
      <x:patternFill patternType="solid">
        <x:fgColor rgb="FFF3EFE5"/>
      </x:patternFill>
    </x:fill>
    <x:fill>
      <x:patternFill patternType="solid">
        <x:fgColor rgb="FF315B49"/>
      </x:patternFill>
    </x:fill>
    <x:fill>
      <x:patternFill patternType="solid">
        <x:fgColor rgb="FFFBF8F0"/>
      </x:patternFill>
    </x:fill>
    <x:fill>
      <x:patternFill patternType="solid">
        <x:fgColor rgb="FFD96B3B"/>
      </x:patternFill>
    </x:fill>
    <x:fill>
      <x:patternFill patternType="solid">
        <x:fgColor rgb="FFDCE7DD"/>
      </x:patternFill>
    </x:fill>
    <x:fill>
      <x:patternFill patternType="solid">
        <x:fgColor rgb="FFF6EDC9"/>
      </x:patternFill>
    </x:fill>
    <x:fill>
      <x:patternFill patternType="solid">
        <x:fgColor rgb="FFDDEBDF"/>
      </x:patternFill>
    </x:fill>
  </x:fills>
  <x:borders count="14">
    <x:border/>
    <x:border>
      <x:left style="thin">
        <x:color rgb="FFD9D1C4"/>
      </x:left>
      <x:top style="thin">
        <x:color rgb="FFD9D1C4"/>
      </x:top>
    </x:border>
    <x:border>
      <x:top style="thin">
        <x:color rgb="FFD9D1C4"/>
      </x:top>
    </x:border>
    <x:border>
      <x:right style="thin">
        <x:color rgb="FFD9D1C4"/>
      </x:right>
      <x:top style="thin">
        <x:color rgb="FFD9D1C4"/>
      </x:top>
    </x:border>
    <x:border>
      <x:left style="thin">
        <x:color rgb="FFD9D1C4"/>
      </x:left>
      <x:bottom style="thin">
        <x:color rgb="FFD9D1C4"/>
      </x:bottom>
    </x:border>
    <x:border>
      <x:bottom style="thin">
        <x:color rgb="FFD9D1C4"/>
      </x:bottom>
    </x:border>
    <x:border>
      <x:right style="thin">
        <x:color rgb="FFD9D1C4"/>
      </x:right>
      <x:bottom style="thin">
        <x:color rgb="FFD9D1C4"/>
      </x:bottom>
    </x:border>
    <x:border>
      <x:bottom style="medium">
        <x:color rgb="FF203E34"/>
      </x:bottom>
    </x:border>
    <x:border>
      <x:top style="thin">
        <x:color rgb="FFD9D1C4"/>
      </x:top>
      <x:bottom style="thin">
        <x:color rgb="FFD9D1C4"/>
      </x:bottom>
    </x:border>
    <x:border>
      <x:left style="thin">
        <x:color rgb="FFD9D1C4"/>
      </x:left>
      <x:top style="thin">
        <x:color rgb="FFD9D1C4"/>
      </x:top>
      <x:bottom style="thin">
        <x:color rgb="FFD9D1C4"/>
      </x:bottom>
    </x:border>
    <x:border>
      <x:right style="thin">
        <x:color rgb="FFD9D1C4"/>
      </x:right>
      <x:top style="thin">
        <x:color rgb="FFD9D1C4"/>
      </x:top>
      <x:bottom style="thin">
        <x:color rgb="FFD9D1C4"/>
      </x:bottom>
    </x:border>
    <x:border>
      <x:left style="thin">
        <x:color rgb="FFD9D1C4"/>
      </x:left>
      <x:top style="thin">
        <x:color rgb="FFD9D1C4"/>
      </x:top>
      <x:bottom style="medium">
        <x:color rgb="FF203E34"/>
      </x:bottom>
    </x:border>
    <x:border>
      <x:top style="thin">
        <x:color rgb="FFD9D1C4"/>
      </x:top>
      <x:bottom style="medium">
        <x:color rgb="FF203E34"/>
      </x:bottom>
    </x:border>
    <x:border>
      <x:right style="thin">
        <x:color rgb="FFD9D1C4"/>
      </x:right>
      <x:top style="thin">
        <x:color rgb="FFD9D1C4"/>
      </x:top>
      <x:bottom style="medium">
        <x:color rgb="FF203E34"/>
      </x:bottom>
    </x:border>
  </x:borders>
  <x:cellStyleXfs count="1">
    <x:xf numFmtId="0" fontId="0" fillId="0" borderId="0"/>
  </x:cellStyleXfs>
  <x:cellXfs count="19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2" xfId="0" applyNumberFormat="1" applyFont="1" applyFill="1" applyBorder="1"/>
    <x:xf numFmtId="0" fontId="4" fillId="5" borderId="3" xfId="0" applyNumberFormat="1" applyFont="1" applyFill="1" applyBorder="1"/>
    <x:xf numFmtId="0" fontId="4" fillId="5" borderId="4" xfId="0" applyNumberFormat="1" applyFont="1" applyFill="1" applyBorder="1"/>
    <x:xf numFmtId="0" fontId="4" fillId="5" borderId="5" xfId="0" applyNumberFormat="1" applyFont="1" applyFill="1" applyBorder="1"/>
    <x:xf numFmtId="0" fontId="4" fillId="5" borderId="6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2" xfId="0" applyNumberFormat="1" applyFont="1" applyFill="1" applyBorder="1" applyAlignment="1">
      <x:alignment wrapText="1"/>
    </x:xf>
    <x:xf numFmtId="0" fontId="4" fillId="5" borderId="3" xfId="0" applyNumberFormat="1" applyFont="1" applyFill="1" applyBorder="1" applyAlignment="1">
      <x:alignment wrapText="1"/>
    </x:xf>
    <x:xf numFmtId="0" fontId="4" fillId="5" borderId="4" xfId="0" applyNumberFormat="1" applyFont="1" applyFill="1" applyBorder="1" applyAlignment="1">
      <x:alignment wrapText="1"/>
    </x:xf>
    <x:xf numFmtId="0" fontId="4" fillId="5" borderId="5" xfId="0" applyNumberFormat="1" applyFont="1" applyFill="1" applyBorder="1" applyAlignment="1">
      <x:alignment wrapText="1"/>
    </x:xf>
    <x:xf numFmtId="0" fontId="4" fillId="5" borderId="6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vertical="center" wrapText="1"/>
    </x:xf>
    <x:xf numFmtId="0" fontId="4" fillId="5" borderId="2" xfId="0" applyNumberFormat="1" applyFont="1" applyFill="1" applyBorder="1" applyAlignment="1">
      <x:alignment vertical="center" wrapText="1"/>
    </x:xf>
    <x:xf numFmtId="0" fontId="4" fillId="5" borderId="3" xfId="0" applyNumberFormat="1" applyFont="1" applyFill="1" applyBorder="1" applyAlignment="1">
      <x:alignment vertical="center" wrapText="1"/>
    </x:xf>
    <x:xf numFmtId="0" fontId="4" fillId="5" borderId="4" xfId="0" applyNumberFormat="1" applyFont="1" applyFill="1" applyBorder="1" applyAlignment="1">
      <x:alignment vertical="center" wrapText="1"/>
    </x:xf>
    <x:xf numFmtId="0" fontId="4" fillId="5" borderId="5" xfId="0" applyNumberFormat="1" applyFont="1" applyFill="1" applyBorder="1" applyAlignment="1">
      <x:alignment vertical="center" wrapText="1"/>
    </x:xf>
    <x:xf numFmtId="0" fontId="4" fillId="5" borderId="6" xfId="0" applyNumberFormat="1" applyFont="1" applyFill="1" applyBorder="1" applyAlignment="1">
      <x:alignment vertical="center" wrapText="1"/>
    </x:xf>
    <x:xf numFmtId="0" fontId="5" fillId="4" borderId="0" xfId="0" applyNumberFormat="1" applyFont="1" applyFill="1" applyBorder="1"/>
    <x:xf numFmtId="0" fontId="5" fillId="4" borderId="7" xfId="0" applyNumberFormat="1" applyFont="1" applyFill="1" applyBorder="1"/>
    <x:xf numFmtId="0" fontId="5" fillId="4" borderId="7" xfId="0" applyNumberFormat="1" applyFont="1" applyFill="1" applyBorder="1" applyAlignment="1">
      <x:alignment wrapText="1"/>
    </x:xf>
    <x:xf numFmtId="0" fontId="5" fillId="4" borderId="7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/>
    <x:xf numFmtId="0" fontId="6" fillId="0" borderId="5" xfId="0" applyNumberFormat="1" applyFont="1" applyFill="1" applyBorder="1"/>
    <x:xf numFmtId="0" fontId="6" fillId="0" borderId="8" xfId="0" applyNumberFormat="1" applyFont="1" applyFill="1" applyBorder="1"/>
    <x:xf numFmtId="0" fontId="6" fillId="0" borderId="2" xfId="0" applyNumberFormat="1" applyFont="1" applyFill="1" applyBorder="1"/>
    <x:xf numFmtId="0" fontId="6" fillId="0" borderId="5" xfId="0" applyNumberFormat="1" applyFont="1" applyFill="1" applyBorder="1" applyAlignment="1">
      <x:alignment wrapText="1"/>
    </x:xf>
    <x:xf numFmtId="0" fontId="6" fillId="0" borderId="8" xfId="0" applyNumberFormat="1" applyFont="1" applyFill="1" applyBorder="1" applyAlignment="1">
      <x:alignment wrapText="1"/>
    </x:xf>
    <x:xf numFmtId="0" fontId="6" fillId="0" borderId="2" xfId="0" applyNumberFormat="1" applyFont="1" applyFill="1" applyBorder="1" applyAlignment="1">
      <x:alignment wrapText="1"/>
    </x:xf>
    <x:xf numFmtId="0" fontId="6" fillId="0" borderId="5" xfId="0" applyNumberFormat="1" applyFont="1" applyFill="1" applyBorder="1" applyAlignment="1">
      <x:alignment vertical="top" wrapText="1"/>
    </x:xf>
    <x:xf numFmtId="0" fontId="6" fillId="0" borderId="8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vertical="center"/>
    </x:xf>
    <x:xf numFmtId="0" fontId="5" fillId="6" borderId="0" xfId="0" applyNumberFormat="1" applyFont="1" applyFill="1" applyBorder="1"/>
    <x:xf numFmtId="0" fontId="5" fillId="6" borderId="7" xfId="0" applyNumberFormat="1" applyFont="1" applyFill="1" applyBorder="1"/>
    <x:xf numFmtId="0" fontId="5" fillId="6" borderId="7" xfId="0" applyNumberFormat="1" applyFont="1" applyFill="1" applyBorder="1" applyAlignment="1">
      <x:alignment wrapText="1"/>
    </x:xf>
    <x:xf numFmtId="0" fontId="5" fillId="6" borderId="7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 applyAlignment="1">
      <x:alignment wrapText="0"/>
    </x:xf>
    <x:xf numFmtId="0" fontId="6" fillId="0" borderId="0" xfId="0" applyNumberFormat="1" applyFont="1" applyFill="1" applyBorder="1" applyAlignment="1">
      <x:alignment vertical="top" wrapText="0"/>
    </x:xf>
    <x:xf numFmtId="200" fontId="6" fillId="0" borderId="0" xfId="0" applyNumberFormat="1" applyFont="1" applyFill="1" applyBorder="1" applyAlignment="1">
      <x:alignment vertical="top" wrapText="0"/>
    </x:xf>
    <x:xf numFmtId="200" fontId="6" fillId="0" borderId="0" xfId="0" applyNumberFormat="1" applyFont="1" applyFill="1" applyBorder="1" applyAlignment="1">
      <x:alignment horizontal="right" vertical="top" wrapText="0"/>
    </x:xf>
    <x:xf numFmtId="201" fontId="6" fillId="0" borderId="0" xfId="0" applyNumberFormat="1" applyFont="1" applyFill="1" applyBorder="1" applyAlignment="1">
      <x:alignment vertical="top" wrapText="0"/>
    </x:xf>
    <x:xf numFmtId="201" fontId="6" fillId="0" borderId="0" xfId="0" applyNumberFormat="1" applyFont="1" applyFill="1" applyBorder="1" applyAlignment="1">
      <x:alignment horizontal="right" vertical="top" wrapText="0"/>
    </x:xf>
    <x:xf numFmtId="202" fontId="6" fillId="0" borderId="0" xfId="0" applyNumberFormat="1" applyFont="1" applyFill="1" applyBorder="1" applyAlignment="1">
      <x:alignment vertical="top" wrapText="0"/>
    </x:xf>
    <x:xf numFmtId="202" fontId="6" fillId="0" borderId="0" xfId="0" applyNumberFormat="1" applyFont="1" applyFill="1" applyBorder="1" applyAlignment="1">
      <x:alignment horizontal="right" vertical="top" wrapText="0"/>
    </x:xf>
    <x:xf numFmtId="203" fontId="6" fillId="0" borderId="0" xfId="0" applyNumberFormat="1" applyFont="1" applyFill="1" applyBorder="1" applyAlignment="1">
      <x:alignment vertical="top" wrapText="0"/>
    </x:xf>
    <x:xf numFmtId="203" fontId="6" fillId="0" borderId="0" xfId="0" applyNumberFormat="1" applyFont="1" applyFill="1" applyBorder="1" applyAlignment="1">
      <x:alignment horizontal="right" vertical="top" wrapText="0"/>
    </x:xf>
    <x:xf numFmtId="0" fontId="6" fillId="0" borderId="0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/>
    <x:xf numFmtId="0" fontId="7" fillId="7" borderId="0" xfId="0" applyNumberFormat="1" applyFont="1" applyFill="1" applyBorder="1"/>
    <x:xf numFmtId="0" fontId="7" fillId="7" borderId="9" xfId="0" applyNumberFormat="1" applyFont="1" applyFill="1" applyBorder="1"/>
    <x:xf numFmtId="0" fontId="7" fillId="7" borderId="8" xfId="0" applyNumberFormat="1" applyFont="1" applyFill="1" applyBorder="1"/>
    <x:xf numFmtId="0" fontId="7" fillId="7" borderId="10" xfId="0" applyNumberFormat="1" applyFont="1" applyFill="1" applyBorder="1"/>
    <x:xf numFmtId="0" fontId="7" fillId="7" borderId="9" xfId="0" applyNumberFormat="1" applyFont="1" applyFill="1" applyBorder="1" applyAlignment="1">
      <x:alignment horizontal="left"/>
    </x:xf>
    <x:xf numFmtId="0" fontId="7" fillId="7" borderId="8" xfId="0" applyNumberFormat="1" applyFont="1" applyFill="1" applyBorder="1" applyAlignment="1">
      <x:alignment horizontal="left"/>
    </x:xf>
    <x:xf numFmtId="0" fontId="7" fillId="7" borderId="10" xfId="0" applyNumberFormat="1" applyFont="1" applyFill="1" applyBorder="1" applyAlignment="1">
      <x:alignment horizontal="left"/>
    </x:xf>
    <x:xf numFmtId="0" fontId="7" fillId="7" borderId="9" xfId="0" applyNumberFormat="1" applyFont="1" applyFill="1" applyBorder="1" applyAlignment="1">
      <x:alignment horizontal="left" vertical="center"/>
    </x:xf>
    <x:xf numFmtId="0" fontId="7" fillId="7" borderId="8" xfId="0" applyNumberFormat="1" applyFont="1" applyFill="1" applyBorder="1" applyAlignment="1">
      <x:alignment horizontal="left" vertical="center"/>
    </x:xf>
    <x:xf numFmtId="0" fontId="7" fillId="7" borderId="10" xfId="0" applyNumberFormat="1" applyFont="1" applyFill="1" applyBorder="1" applyAlignment="1">
      <x:alignment horizontal="left" vertical="center"/>
    </x:xf>
    <x:xf numFmtId="0" fontId="8" fillId="5" borderId="0" xfId="0" applyNumberFormat="1" applyFont="1" applyFill="1" applyBorder="1"/>
    <x:xf numFmtId="0" fontId="8" fillId="5" borderId="1" xfId="0" applyNumberFormat="1" applyFont="1" applyFill="1" applyBorder="1"/>
    <x:xf numFmtId="0" fontId="8" fillId="5" borderId="2" xfId="0" applyNumberFormat="1" applyFont="1" applyFill="1" applyBorder="1"/>
    <x:xf numFmtId="0" fontId="8" fillId="5" borderId="3" xfId="0" applyNumberFormat="1" applyFont="1" applyFill="1" applyBorder="1"/>
    <x:xf numFmtId="0" fontId="8" fillId="5" borderId="4" xfId="0" applyNumberFormat="1" applyFont="1" applyFill="1" applyBorder="1"/>
    <x:xf numFmtId="0" fontId="8" fillId="5" borderId="5" xfId="0" applyNumberFormat="1" applyFont="1" applyFill="1" applyBorder="1"/>
    <x:xf numFmtId="0" fontId="8" fillId="5" borderId="6" xfId="0" applyNumberFormat="1" applyFont="1" applyFill="1" applyBorder="1"/>
    <x:xf numFmtId="0" fontId="8" fillId="5" borderId="1" xfId="0" applyNumberFormat="1" applyFont="1" applyFill="1" applyBorder="1" applyAlignment="1">
      <x:alignment horizontal="left"/>
    </x:xf>
    <x:xf numFmtId="0" fontId="8" fillId="5" borderId="2" xfId="0" applyNumberFormat="1" applyFont="1" applyFill="1" applyBorder="1" applyAlignment="1">
      <x:alignment horizontal="left"/>
    </x:xf>
    <x:xf numFmtId="0" fontId="8" fillId="5" borderId="3" xfId="0" applyNumberFormat="1" applyFont="1" applyFill="1" applyBorder="1" applyAlignment="1">
      <x:alignment horizontal="left"/>
    </x:xf>
    <x:xf numFmtId="0" fontId="8" fillId="5" borderId="4" xfId="0" applyNumberFormat="1" applyFont="1" applyFill="1" applyBorder="1" applyAlignment="1">
      <x:alignment horizontal="left"/>
    </x:xf>
    <x:xf numFmtId="0" fontId="8" fillId="5" borderId="5" xfId="0" applyNumberFormat="1" applyFont="1" applyFill="1" applyBorder="1" applyAlignment="1">
      <x:alignment horizontal="left"/>
    </x:xf>
    <x:xf numFmtId="0" fontId="8" fillId="5" borderId="6" xfId="0" applyNumberFormat="1" applyFont="1" applyFill="1" applyBorder="1" applyAlignment="1">
      <x:alignment horizontal="left"/>
    </x:xf>
    <x:xf numFmtId="0" fontId="8" fillId="5" borderId="1" xfId="0" applyNumberFormat="1" applyFont="1" applyFill="1" applyBorder="1" applyAlignment="1">
      <x:alignment horizontal="left" vertical="center"/>
    </x:xf>
    <x:xf numFmtId="0" fontId="8" fillId="5" borderId="2" xfId="0" applyNumberFormat="1" applyFont="1" applyFill="1" applyBorder="1" applyAlignment="1">
      <x:alignment horizontal="left" vertical="center"/>
    </x:xf>
    <x:xf numFmtId="0" fontId="8" fillId="5" borderId="3" xfId="0" applyNumberFormat="1" applyFont="1" applyFill="1" applyBorder="1" applyAlignment="1">
      <x:alignment horizontal="left" vertical="center"/>
    </x:xf>
    <x:xf numFmtId="0" fontId="8" fillId="5" borderId="4" xfId="0" applyNumberFormat="1" applyFont="1" applyFill="1" applyBorder="1" applyAlignment="1">
      <x:alignment horizontal="left" vertical="center"/>
    </x:xf>
    <x:xf numFmtId="0" fontId="8" fillId="5" borderId="5" xfId="0" applyNumberFormat="1" applyFont="1" applyFill="1" applyBorder="1" applyAlignment="1">
      <x:alignment horizontal="left" vertical="center"/>
    </x:xf>
    <x:xf numFmtId="0" fontId="8" fillId="5" borderId="6" xfId="0" applyNumberFormat="1" applyFont="1" applyFill="1" applyBorder="1" applyAlignment="1">
      <x:alignment horizontal="left" vertical="center"/>
    </x:xf>
    <x:xf numFmtId="201" fontId="8" fillId="5" borderId="1" xfId="0" applyNumberFormat="1" applyFont="1" applyFill="1" applyBorder="1" applyAlignment="1">
      <x:alignment horizontal="left" vertical="center"/>
    </x:xf>
    <x:xf numFmtId="0" fontId="9" fillId="5" borderId="0" xfId="0" applyNumberFormat="1" applyFont="1" applyFill="1" applyBorder="1"/>
    <x:xf numFmtId="0" fontId="9" fillId="5" borderId="9" xfId="0" applyNumberFormat="1" applyFont="1" applyFill="1" applyBorder="1"/>
    <x:xf numFmtId="0" fontId="9" fillId="5" borderId="8" xfId="0" applyNumberFormat="1" applyFont="1" applyFill="1" applyBorder="1"/>
    <x:xf numFmtId="0" fontId="9" fillId="5" borderId="10" xfId="0" applyNumberFormat="1" applyFont="1" applyFill="1" applyBorder="1"/>
    <x:xf numFmtId="0" fontId="9" fillId="5" borderId="9" xfId="0" applyNumberFormat="1" applyFont="1" applyFill="1" applyBorder="1" applyAlignment="1">
      <x:alignment wrapText="1"/>
    </x:xf>
    <x:xf numFmtId="0" fontId="9" fillId="5" borderId="8" xfId="0" applyNumberFormat="1" applyFont="1" applyFill="1" applyBorder="1" applyAlignment="1">
      <x:alignment wrapText="1"/>
    </x:xf>
    <x:xf numFmtId="0" fontId="9" fillId="5" borderId="10" xfId="0" applyNumberFormat="1" applyFont="1" applyFill="1" applyBorder="1" applyAlignment="1">
      <x:alignment wrapText="1"/>
    </x:xf>
    <x:xf numFmtId="0" fontId="9" fillId="5" borderId="9" xfId="0" applyNumberFormat="1" applyFont="1" applyFill="1" applyBorder="1" applyAlignment="1">
      <x:alignment vertical="center" wrapText="1"/>
    </x:xf>
    <x:xf numFmtId="0" fontId="9" fillId="5" borderId="8" xfId="0" applyNumberFormat="1" applyFont="1" applyFill="1" applyBorder="1" applyAlignment="1">
      <x:alignment vertical="center" wrapText="1"/>
    </x:xf>
    <x:xf numFmtId="0" fontId="9" fillId="5" borderId="10" xfId="0" applyNumberFormat="1" applyFont="1" applyFill="1" applyBorder="1" applyAlignment="1">
      <x:alignment vertical="center" wrapText="1"/>
    </x:xf>
    <x:xf numFmtId="202" fontId="8" fillId="5" borderId="1" xfId="0" applyNumberFormat="1" applyFont="1" applyFill="1" applyBorder="1" applyAlignment="1">
      <x:alignment horizontal="left" vertical="center"/>
    </x:xf>
    <x:xf numFmtId="0" fontId="6" fillId="0" borderId="5" xfId="0" applyNumberFormat="1" applyFont="1" applyFill="1" applyBorder="1" applyAlignment="1">
      <x:alignment wrapText="0"/>
    </x:xf>
    <x:xf numFmtId="0" fontId="6" fillId="0" borderId="8" xfId="0" applyNumberFormat="1" applyFont="1" applyFill="1" applyBorder="1" applyAlignment="1">
      <x:alignment wrapText="0"/>
    </x:xf>
    <x:xf numFmtId="0" fontId="6" fillId="0" borderId="2" xfId="0" applyNumberFormat="1" applyFont="1" applyFill="1" applyBorder="1" applyAlignment="1">
      <x:alignment wrapText="0"/>
    </x:xf>
    <x:xf numFmtId="0" fontId="6" fillId="0" borderId="5" xfId="0" applyNumberFormat="1" applyFont="1" applyFill="1" applyBorder="1" applyAlignment="1">
      <x:alignment vertical="top" wrapText="0"/>
    </x:xf>
    <x:xf numFmtId="0" fontId="6" fillId="0" borderId="8" xfId="0" applyNumberFormat="1" applyFont="1" applyFill="1" applyBorder="1" applyAlignment="1">
      <x:alignment vertical="top" wrapText="0"/>
    </x:xf>
    <x:xf numFmtId="0" fontId="6" fillId="0" borderId="2" xfId="0" applyNumberFormat="1" applyFont="1" applyFill="1" applyBorder="1" applyAlignment="1">
      <x:alignment vertical="top" wrapText="0"/>
    </x:xf>
    <x:xf numFmtId="203" fontId="6" fillId="0" borderId="5" xfId="0" applyNumberFormat="1" applyFont="1" applyFill="1" applyBorder="1" applyAlignment="1">
      <x:alignment vertical="top" wrapText="0"/>
    </x:xf>
    <x:xf numFmtId="203" fontId="6" fillId="0" borderId="8" xfId="0" applyNumberFormat="1" applyFont="1" applyFill="1" applyBorder="1" applyAlignment="1">
      <x:alignment vertical="top" wrapText="0"/>
    </x:xf>
    <x:xf numFmtId="203" fontId="6" fillId="0" borderId="2" xfId="0" applyNumberFormat="1" applyFont="1" applyFill="1" applyBorder="1" applyAlignment="1">
      <x:alignment vertical="top" wrapText="0"/>
    </x:xf>
    <x:xf numFmtId="201" fontId="6" fillId="0" borderId="5" xfId="0" applyNumberFormat="1" applyFont="1" applyFill="1" applyBorder="1" applyAlignment="1">
      <x:alignment vertical="top" wrapText="0"/>
    </x:xf>
    <x:xf numFmtId="201" fontId="6" fillId="0" borderId="8" xfId="0" applyNumberFormat="1" applyFont="1" applyFill="1" applyBorder="1" applyAlignment="1">
      <x:alignment vertical="top" wrapText="0"/>
    </x:xf>
    <x:xf numFmtId="201" fontId="6" fillId="0" borderId="2" xfId="0" applyNumberFormat="1" applyFont="1" applyFill="1" applyBorder="1" applyAlignment="1">
      <x:alignment vertical="top" wrapText="0"/>
    </x:xf>
    <x:xf numFmtId="0" fontId="5" fillId="4" borderId="11" xfId="0" applyNumberFormat="1" applyFont="1" applyFill="1" applyBorder="1" applyAlignment="1">
      <x:alignment vertical="center" wrapText="1"/>
    </x:xf>
    <x:xf numFmtId="0" fontId="5" fillId="4" borderId="12" xfId="0" applyNumberFormat="1" applyFont="1" applyFill="1" applyBorder="1" applyAlignment="1">
      <x:alignment vertical="center" wrapText="1"/>
    </x:xf>
    <x:xf numFmtId="0" fontId="5" fillId="4" borderId="13" xfId="0" applyNumberFormat="1" applyFont="1" applyFill="1" applyBorder="1" applyAlignment="1">
      <x:alignment vertical="center" wrapText="1"/>
    </x:xf>
    <x:xf numFmtId="0" fontId="6" fillId="0" borderId="4" xfId="0" applyNumberFormat="1" applyFont="1" applyFill="1" applyBorder="1" applyAlignment="1">
      <x:alignment vertical="top" wrapText="0"/>
    </x:xf>
    <x:xf numFmtId="203" fontId="6" fillId="0" borderId="6" xfId="0" applyNumberFormat="1" applyFont="1" applyFill="1" applyBorder="1" applyAlignment="1">
      <x:alignment vertical="top" wrapText="0"/>
    </x:xf>
    <x:xf numFmtId="0" fontId="6" fillId="0" borderId="9" xfId="0" applyNumberFormat="1" applyFont="1" applyFill="1" applyBorder="1" applyAlignment="1">
      <x:alignment vertical="top" wrapText="0"/>
    </x:xf>
    <x:xf numFmtId="203" fontId="6" fillId="0" borderId="10" xfId="0" applyNumberFormat="1" applyFont="1" applyFill="1" applyBorder="1" applyAlignment="1">
      <x:alignment vertical="top" wrapText="0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wrapText="1"/>
    </x:xf>
    <x:xf numFmtId="0" fontId="0" fillId="8" borderId="0" xfId="0" applyNumberFormat="1" applyFont="1" applyFill="1" applyBorder="1"/>
    <x:xf numFmtId="0" fontId="10" fillId="8" borderId="0" xfId="0" applyNumberFormat="1" applyFont="1" applyFill="1" applyBorder="1"/>
    <x:xf numFmtId="0" fontId="10" fillId="8" borderId="9" xfId="0" applyNumberFormat="1" applyFont="1" applyFill="1" applyBorder="1"/>
    <x:xf numFmtId="0" fontId="10" fillId="8" borderId="8" xfId="0" applyNumberFormat="1" applyFont="1" applyFill="1" applyBorder="1"/>
    <x:xf numFmtId="0" fontId="10" fillId="8" borderId="10" xfId="0" applyNumberFormat="1" applyFont="1" applyFill="1" applyBorder="1"/>
    <x:xf numFmtId="0" fontId="10" fillId="8" borderId="9" xfId="0" applyNumberFormat="1" applyFont="1" applyFill="1" applyBorder="1" applyAlignment="1">
      <x:alignment wrapText="1"/>
    </x:xf>
    <x:xf numFmtId="0" fontId="10" fillId="8" borderId="8" xfId="0" applyNumberFormat="1" applyFont="1" applyFill="1" applyBorder="1" applyAlignment="1">
      <x:alignment wrapText="1"/>
    </x:xf>
    <x:xf numFmtId="0" fontId="10" fillId="8" borderId="10" xfId="0" applyNumberFormat="1" applyFont="1" applyFill="1" applyBorder="1" applyAlignment="1">
      <x:alignment wrapText="1"/>
    </x:xf>
    <x:xf numFmtId="0" fontId="10" fillId="8" borderId="9" xfId="0" applyNumberFormat="1" applyFont="1" applyFill="1" applyBorder="1" applyAlignment="1">
      <x:alignment vertical="center" wrapText="1"/>
    </x:xf>
    <x:xf numFmtId="0" fontId="10" fillId="8" borderId="8" xfId="0" applyNumberFormat="1" applyFont="1" applyFill="1" applyBorder="1" applyAlignment="1">
      <x:alignment vertical="center" wrapText="1"/>
    </x:xf>
    <x:xf numFmtId="0" fontId="10" fillId="8" borderId="10" xfId="0" applyNumberFormat="1" applyFont="1" applyFill="1" applyBorder="1" applyAlignment="1">
      <x:alignment vertical="center" wrapText="1"/>
    </x:xf>
    <x:xf numFmtId="201" fontId="6" fillId="0" borderId="5" xfId="0" applyNumberFormat="1" applyFont="1" applyFill="1" applyBorder="1" applyAlignment="1">
      <x:alignment horizontal="right" vertical="top" wrapText="0"/>
    </x:xf>
    <x:xf numFmtId="201" fontId="6" fillId="0" borderId="8" xfId="0" applyNumberFormat="1" applyFont="1" applyFill="1" applyBorder="1" applyAlignment="1">
      <x:alignment horizontal="right" vertical="top" wrapText="0"/>
    </x:xf>
    <x:xf numFmtId="201" fontId="6" fillId="0" borderId="2" xfId="0" applyNumberFormat="1" applyFont="1" applyFill="1" applyBorder="1" applyAlignment="1">
      <x:alignment horizontal="right" vertical="top" wrapText="0"/>
    </x:xf>
    <x:xf numFmtId="203" fontId="6" fillId="0" borderId="5" xfId="0" applyNumberFormat="1" applyFont="1" applyFill="1" applyBorder="1" applyAlignment="1">
      <x:alignment horizontal="right" vertical="top" wrapText="0"/>
    </x:xf>
    <x:xf numFmtId="203" fontId="6" fillId="0" borderId="8" xfId="0" applyNumberFormat="1" applyFont="1" applyFill="1" applyBorder="1" applyAlignment="1">
      <x:alignment horizontal="right" vertical="top" wrapText="0"/>
    </x:xf>
    <x:xf numFmtId="203" fontId="6" fillId="0" borderId="2" xfId="0" applyNumberFormat="1" applyFont="1" applyFill="1" applyBorder="1" applyAlignment="1">
      <x:alignment horizontal="right" vertical="top" wrapText="0"/>
    </x:xf>
    <x:xf numFmtId="202" fontId="6" fillId="0" borderId="5" xfId="0" applyNumberFormat="1" applyFont="1" applyFill="1" applyBorder="1" applyAlignment="1">
      <x:alignment vertical="top" wrapText="0"/>
    </x:xf>
    <x:xf numFmtId="202" fontId="6" fillId="0" borderId="8" xfId="0" applyNumberFormat="1" applyFont="1" applyFill="1" applyBorder="1" applyAlignment="1">
      <x:alignment vertical="top" wrapText="0"/>
    </x:xf>
    <x:xf numFmtId="202" fontId="6" fillId="0" borderId="2" xfId="0" applyNumberFormat="1" applyFont="1" applyFill="1" applyBorder="1" applyAlignment="1">
      <x:alignment vertical="top" wrapText="0"/>
    </x:xf>
    <x:xf numFmtId="202" fontId="6" fillId="0" borderId="5" xfId="0" applyNumberFormat="1" applyFont="1" applyFill="1" applyBorder="1" applyAlignment="1">
      <x:alignment horizontal="right" vertical="top" wrapText="0"/>
    </x:xf>
    <x:xf numFmtId="202" fontId="6" fillId="0" borderId="8" xfId="0" applyNumberFormat="1" applyFont="1" applyFill="1" applyBorder="1" applyAlignment="1">
      <x:alignment horizontal="right" vertical="top" wrapText="0"/>
    </x:xf>
    <x:xf numFmtId="202" fontId="6" fillId="0" borderId="2" xfId="0" applyNumberFormat="1" applyFont="1" applyFill="1" applyBorder="1" applyAlignment="1">
      <x:alignment horizontal="right" vertical="top" wrapText="0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5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8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5" xfId="0" applyNumberFormat="1" applyFont="1" applyFill="1" applyBorder="1" applyAlignment="1">
      <x:alignment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8" xfId="0" applyNumberFormat="1" applyFont="1" applyFill="1" applyBorder="1" applyAlignment="1">
      <x:alignment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5" xfId="0" applyNumberFormat="1" applyFont="1" applyFill="1" applyBorder="1" applyAlignment="1">
      <x:alignment vertical="top"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8" xfId="0" applyNumberFormat="1" applyFont="1" applyFill="1" applyBorder="1" applyAlignment="1">
      <x:alignment vertical="top"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5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8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5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8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6" fillId="0" borderId="5" xfId="0" applyNumberFormat="1" applyFont="1" applyFill="1" applyBorder="1" applyAlignment="1">
      <x:alignment vertical="top" wrapText="1"/>
    </x:xf>
    <x:xf numFmtId="200" fontId="6" fillId="0" borderId="8" xfId="0" applyNumberFormat="1" applyFont="1" applyFill="1" applyBorder="1" applyAlignment="1">
      <x:alignment vertical="top" wrapText="1"/>
    </x:xf>
    <x:xf numFmtId="200" fontId="6" fillId="0" borderId="2" xfId="0" applyNumberFormat="1" applyFont="1" applyFill="1" applyBorder="1" applyAlignment="1">
      <x:alignment vertical="top" wrapText="1"/>
    </x:xf>
    <x:xf numFmtId="204" fontId="6" fillId="0" borderId="5" xfId="0" applyNumberFormat="1" applyFont="1" applyFill="1" applyBorder="1" applyAlignment="1">
      <x:alignment vertical="top" wrapText="1"/>
    </x:xf>
    <x:xf numFmtId="204" fontId="6" fillId="0" borderId="8" xfId="0" applyNumberFormat="1" applyFont="1" applyFill="1" applyBorder="1" applyAlignment="1">
      <x:alignment vertical="top" wrapText="1"/>
    </x:xf>
    <x:xf numFmtId="204" fontId="6" fillId="0" borderId="2" xfId="0" applyNumberFormat="1" applyFont="1" applyFill="1" applyBorder="1" applyAlignment="1">
      <x:alignment vertical="top" wrapText="1"/>
    </x:xf>
    <x:xf numFmtId="203" fontId="8" fillId="5" borderId="1" xfId="0" applyNumberFormat="1" applyFont="1" applyFill="1" applyBorder="1" applyAlignment="1">
      <x:alignment horizontal="left" vertical="center"/>
    </x:xf>
    <x:xf numFmtId="202" fontId="6" fillId="0" borderId="8" xfId="0" applyNumberFormat="1" applyFont="1" applyFill="1" applyBorder="1" applyAlignment="1">
      <x:alignment vertical="top" wrapText="1"/>
    </x:xf>
    <x:xf numFmtId="0" fontId="0" fillId="9" borderId="0" xfId="0" applyNumberFormat="1" applyFont="1" applyFill="1" applyBorder="1"/>
    <x:xf numFmtId="0" fontId="11" fillId="9" borderId="0" xfId="0" applyNumberFormat="1" applyFont="1" applyFill="1" applyBorder="1"/>
    <x:xf numFmtId="0" fontId="11" fillId="9" borderId="9" xfId="0" applyNumberFormat="1" applyFont="1" applyFill="1" applyBorder="1"/>
    <x:xf numFmtId="0" fontId="11" fillId="9" borderId="8" xfId="0" applyNumberFormat="1" applyFont="1" applyFill="1" applyBorder="1"/>
    <x:xf numFmtId="0" fontId="11" fillId="9" borderId="10" xfId="0" applyNumberFormat="1" applyFont="1" applyFill="1" applyBorder="1"/>
    <x:xf numFmtId="0" fontId="11" fillId="9" borderId="9" xfId="0" applyNumberFormat="1" applyFont="1" applyFill="1" applyBorder="1" applyAlignment="1">
      <x:alignment wrapText="1"/>
    </x:xf>
    <x:xf numFmtId="0" fontId="11" fillId="9" borderId="8" xfId="0" applyNumberFormat="1" applyFont="1" applyFill="1" applyBorder="1" applyAlignment="1">
      <x:alignment wrapText="1"/>
    </x:xf>
    <x:xf numFmtId="0" fontId="11" fillId="9" borderId="10" xfId="0" applyNumberFormat="1" applyFont="1" applyFill="1" applyBorder="1" applyAlignment="1">
      <x:alignment wrapText="1"/>
    </x:xf>
    <x:xf numFmtId="0" fontId="11" fillId="9" borderId="9" xfId="0" applyNumberFormat="1" applyFont="1" applyFill="1" applyBorder="1" applyAlignment="1">
      <x:alignment vertical="center" wrapText="1"/>
    </x:xf>
    <x:xf numFmtId="0" fontId="11" fillId="9" borderId="8" xfId="0" applyNumberFormat="1" applyFont="1" applyFill="1" applyBorder="1" applyAlignment="1">
      <x:alignment vertical="center" wrapText="1"/>
    </x:xf>
    <x:xf numFmtId="0" fontId="11" fillId="9" borderId="10" xfId="0" applyNumberFormat="1" applyFont="1" applyFill="1" applyBorder="1" applyAlignment="1">
      <x:alignment vertical="center" wrapText="1"/>
    </x:xf>
    <x:xf numFmtId="0" fontId="6" fillId="0" borderId="5" xfId="0" applyNumberFormat="1" applyFont="1" applyFill="1" applyBorder="1" applyAlignment="1">
      <x:alignment horizontal="center" vertical="top" wrapText="0"/>
    </x:xf>
    <x:xf numFmtId="0" fontId="6" fillId="0" borderId="8" xfId="0" applyNumberFormat="1" applyFont="1" applyFill="1" applyBorder="1" applyAlignment="1">
      <x:alignment horizontal="center" vertical="top" wrapText="0"/>
    </x:xf>
    <x:xf numFmtId="0" fontId="6" fillId="0" borderId="2" xfId="0" applyNumberFormat="1" applyFont="1" applyFill="1" applyBorder="1" applyAlignment="1">
      <x:alignment horizontal="center" vertical="top" wrapText="0"/>
    </x:xf>
    <x:xf numFmtId="200" fontId="6" fillId="0" borderId="5" xfId="0" applyNumberFormat="1" applyFont="1" applyFill="1" applyBorder="1" applyAlignment="1">
      <x:alignment vertical="top" wrapText="0"/>
    </x:xf>
    <x:xf numFmtId="200" fontId="6" fillId="0" borderId="8" xfId="0" applyNumberFormat="1" applyFont="1" applyFill="1" applyBorder="1" applyAlignment="1">
      <x:alignment vertical="top" wrapText="0"/>
    </x:xf>
    <x:xf numFmtId="200" fontId="6" fillId="0" borderId="2" xfId="0" applyNumberFormat="1" applyFont="1" applyFill="1" applyBorder="1" applyAlignment="1">
      <x:alignment vertical="top" wrapText="0"/>
    </x:xf>
    <x:xf numFmtId="200" fontId="6" fillId="0" borderId="5" xfId="0" applyNumberFormat="1" applyFont="1" applyFill="1" applyBorder="1" applyAlignment="1">
      <x:alignment horizontal="right" vertical="top" wrapText="0"/>
    </x:xf>
    <x:xf numFmtId="200" fontId="6" fillId="0" borderId="8" xfId="0" applyNumberFormat="1" applyFont="1" applyFill="1" applyBorder="1" applyAlignment="1">
      <x:alignment horizontal="right" vertical="top" wrapText="0"/>
    </x:xf>
    <x:xf numFmtId="200" fontId="6" fillId="0" borderId="2" xfId="0" applyNumberFormat="1" applyFont="1" applyFill="1" applyBorder="1" applyAlignment="1">
      <x:alignment horizontal="right" vertical="top" wrapText="0"/>
    </x:xf>
  </x:cellXfs>
  <x:cellStyles count="1">
    <x:cellStyle name="Normal" xfId="0"/>
  </x:cellStyles>
  <x:dxfs count="21">
    <x:dxf>
      <x:font>
        <x:b/>
        <x:color rgb="FF3F765B"/>
      </x:font>
      <x:fill>
        <x:patternFill patternType="solid">
          <x:bgColor rgb="FFDDEBDF"/>
        </x:patternFill>
      </x:fill>
    </x:dxf>
    <x:dxf>
      <x:font>
        <x:b/>
        <x:color rgb="FFA44836"/>
      </x:font>
      <x:fill>
        <x:patternFill patternType="solid">
          <x:bgColor rgb="FFF3DDD7"/>
        </x:patternFill>
      </x:fill>
    </x:dxf>
    <x:dxf>
      <x:font>
        <x:b/>
        <x:color rgb="FF1D2621"/>
      </x:font>
      <x:fill>
        <x:patternFill patternType="solid">
          <x:bgColor rgb="FFF6EDC9"/>
        </x:patternFill>
      </x:fill>
    </x:dxf>
    <x:dxf>
      <x:font>
        <x:b/>
        <x:color rgb="FF3F765B"/>
      </x:font>
      <x:fill>
        <x:patternFill patternType="solid">
          <x:bgColor rgb="FFDDEBDF"/>
        </x:patternFill>
      </x:fill>
    </x:dxf>
    <x:dxf>
      <x:font>
        <x:b/>
        <x:color rgb="FFA44836"/>
      </x:font>
      <x:fill>
        <x:patternFill patternType="solid">
          <x:bgColor rgb="FFF3DDD7"/>
        </x:patternFill>
      </x:fill>
    </x:dxf>
    <x:dxf>
      <x:font>
        <x:b/>
        <x:color rgb="FF1D2621"/>
      </x:font>
      <x:fill>
        <x:patternFill patternType="solid">
          <x:bgColor rgb="FFF6EDC9"/>
        </x:patternFill>
      </x:fill>
    </x:dxf>
    <x:dxf>
      <x:font>
        <x:b/>
        <x:color rgb="FF3F765B"/>
      </x:font>
      <x:fill>
        <x:patternFill patternType="solid">
          <x:bgColor rgb="FFDDEBDF"/>
        </x:patternFill>
      </x:fill>
    </x:dxf>
    <x:dxf>
      <x:font>
        <x:b/>
        <x:color rgb="FFA44836"/>
      </x:font>
      <x:fill>
        <x:patternFill patternType="solid">
          <x:bgColor rgb="FFF3DDD7"/>
        </x:patternFill>
      </x:fill>
    </x:dxf>
    <x:dxf>
      <x:font>
        <x:b/>
        <x:color rgb="FF1D2621"/>
      </x:font>
      <x:fill>
        <x:patternFill patternType="solid">
          <x:bgColor rgb="FFF6EDC9"/>
        </x:patternFill>
      </x:fill>
    </x:dxf>
    <x:dxf>
      <x:font>
        <x:b/>
        <x:color rgb="FF3F765B"/>
      </x:font>
      <x:fill>
        <x:patternFill patternType="solid">
          <x:bgColor rgb="FFDDEBDF"/>
        </x:patternFill>
      </x:fill>
    </x:dxf>
    <x:dxf>
      <x:font>
        <x:b/>
        <x:color rgb="FFA44836"/>
      </x:font>
      <x:fill>
        <x:patternFill patternType="solid">
          <x:bgColor rgb="FFF3DDD7"/>
        </x:patternFill>
      </x:fill>
    </x:dxf>
    <x:dxf>
      <x:font>
        <x:b/>
        <x:color rgb="FF1D2621"/>
      </x:font>
      <x:fill>
        <x:patternFill patternType="solid">
          <x:bgColor rgb="FFF6EDC9"/>
        </x:patternFill>
      </x:fill>
    </x:dxf>
    <x:dxf>
      <x:font>
        <x:b/>
        <x:color rgb="FF3F765B"/>
      </x:font>
      <x:fill>
        <x:patternFill patternType="solid">
          <x:bgColor rgb="FFDDEBDF"/>
        </x:patternFill>
      </x:fill>
    </x:dxf>
    <x:dxf>
      <x:font>
        <x:b/>
        <x:color rgb="FFA44836"/>
      </x:font>
      <x:fill>
        <x:patternFill patternType="solid">
          <x:bgColor rgb="FFF3DDD7"/>
        </x:patternFill>
      </x:fill>
    </x:dxf>
    <x:dxf>
      <x:font>
        <x:b/>
        <x:color rgb="FF1D2621"/>
      </x:font>
      <x:fill>
        <x:patternFill patternType="solid">
          <x:bgColor rgb="FFF6EDC9"/>
        </x:patternFill>
      </x:fill>
    </x:dxf>
    <x:dxf>
      <x:font>
        <x:b/>
        <x:color rgb="FF3F765B"/>
      </x:font>
      <x:fill>
        <x:patternFill patternType="solid">
          <x:bgColor rgb="FFDDEBDF"/>
        </x:patternFill>
      </x:fill>
    </x:dxf>
    <x:dxf>
      <x:font>
        <x:b/>
        <x:color rgb="FFA44836"/>
      </x:font>
      <x:fill>
        <x:patternFill patternType="solid">
          <x:bgColor rgb="FFF3DDD7"/>
        </x:patternFill>
      </x:fill>
    </x:dxf>
    <x:dxf>
      <x:font>
        <x:b/>
        <x:color rgb="FF1D2621"/>
      </x:font>
      <x:fill>
        <x:patternFill patternType="solid">
          <x:bgColor rgb="FFF6EDC9"/>
        </x:patternFill>
      </x:fill>
    </x:dxf>
    <x:dxf>
      <x:font>
        <x:b/>
        <x:color rgb="FF3F765B"/>
      </x:font>
      <x:fill>
        <x:patternFill patternType="solid">
          <x:bgColor rgb="FFDDEBDF"/>
        </x:patternFill>
      </x:fill>
    </x:dxf>
    <x:dxf>
      <x:font>
        <x:b/>
        <x:color rgb="FFA44836"/>
      </x:font>
      <x:fill>
        <x:patternFill patternType="solid">
          <x:bgColor rgb="FFF3DDD7"/>
        </x:patternFill>
      </x:fill>
    </x:dxf>
    <x:dxf>
      <x:font>
        <x:b/>
        <x:color rgb="FF1D2621"/>
      </x:font>
      <x:fill>
        <x:patternFill patternType="solid">
          <x:bgColor rgb="FFF6EDC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4b0d011808d4c83" /><Relationship Type="http://schemas.openxmlformats.org/officeDocument/2006/relationships/theme" Target="/xl/theme/theme1.xml" Id="R28d670d92cb246a2" /><Relationship Type="http://schemas.microsoft.com/office/2022/11/relationships/FeaturePropertyBag" Target="/xl/featurePropertyBag/featurePropertyBag.xml" Id="Ra46f7248ef084c45" /><Relationship Type="http://schemas.openxmlformats.org/officeDocument/2006/relationships/sharedStrings" Target="/xl/sharedStrings.xml" Id="R0517b1bda89b4616" /><Relationship Type="http://schemas.openxmlformats.org/officeDocument/2006/relationships/worksheet" Target="/xl/worksheets/sheet1.xml" Id="R9e91d793db134b42" /><Relationship Type="http://schemas.openxmlformats.org/officeDocument/2006/relationships/worksheet" Target="/xl/worksheets/sheet2.xml" Id="R4ecac4f7874b4942" /><Relationship Type="http://schemas.openxmlformats.org/officeDocument/2006/relationships/worksheet" Target="/xl/worksheets/sheet3.xml" Id="R4240b6bbf9e049ef" /><Relationship Type="http://schemas.openxmlformats.org/officeDocument/2006/relationships/worksheet" Target="/xl/worksheets/sheet4.xml" Id="R807b28283ebc413f" /><Relationship Type="http://schemas.openxmlformats.org/officeDocument/2006/relationships/worksheet" Target="/xl/worksheets/sheet5.xml" Id="R26fcb02f6664408a" /><Relationship Type="http://schemas.openxmlformats.org/officeDocument/2006/relationships/worksheet" Target="/xl/worksheets/sheet6.xml" Id="R0e68e1c568fc4ebc" /><Relationship Type="http://schemas.openxmlformats.org/officeDocument/2006/relationships/worksheet" Target="/xl/worksheets/sheet7.xml" Id="R63f0e26c05034866" /><Relationship Type="http://schemas.openxmlformats.org/officeDocument/2006/relationships/worksheet" Target="/xl/worksheets/sheet8.xml" Id="R40941ecf6d4c4315" /><Relationship Type="http://schemas.openxmlformats.org/officeDocument/2006/relationships/worksheet" Target="/xl/worksheets/sheet9.xml" Id="R7d7daf8b33114e1a" /><Relationship Type="http://schemas.openxmlformats.org/officeDocument/2006/relationships/worksheet" Target="/xl/worksheets/sheet10.xml" Id="R7b44534fa9394051" /><Relationship Type="http://schemas.openxmlformats.org/officeDocument/2006/relationships/worksheet" Target="/xl/worksheets/sheet11.xml" Id="R06ee5819a4a241f3" /><Relationship Type="http://schemas.openxmlformats.org/officeDocument/2006/relationships/worksheet" Target="/xl/worksheets/sheet12.xml" Id="R4ce7fb12119749a7" /><Relationship Type="http://schemas.openxmlformats.org/officeDocument/2006/relationships/worksheet" Target="/xl/worksheets/sheet13.xml" Id="R30dfabebd5d84d13" /><Relationship Type="http://schemas.openxmlformats.org/officeDocument/2006/relationships/worksheet" Target="/xl/worksheets/sheet14.xml" Id="Re58f65155b254c98" /><Relationship Type="http://schemas.openxmlformats.org/officeDocument/2006/relationships/worksheet" Target="/xl/worksheets/sheet15.xml" Id="Rb295977510dd43fa" /><Relationship Type="http://schemas.openxmlformats.org/officeDocument/2006/relationships/worksheet" Target="/xl/worksheets/sheet16.xml" Id="R921bc3274bcf441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0ab30dcb74a142b1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主题互动分布：中位数 vs P75（点赞）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中位数</c:v>
          </c:tx>
          <c:cat>
            <c:strRef>
              <c:f>'BI总览'!$I$10:$I$12</c:f>
              <c:strCache>
                <c:ptCount val="0"/>
              </c:strCache>
            </c:strRef>
          </c:cat>
          <c:val>
            <c:numRef>
              <c:f>'BI总览'!$J$10:$J$12</c:f>
              <c:numCache>
                <c:formatCode>#,##0</c:formatCode>
                <c:ptCount val="0"/>
              </c:numCache>
            </c:numRef>
          </c:val>
        </c:ser>
        <c:ser>
          <c:idx val="1"/>
          <c:order val="1"/>
          <c:tx>
            <c:v>P75</c:v>
          </c:tx>
          <c:cat>
            <c:strRef>
              <c:f>'BI总览'!$I$10:$I$12</c:f>
              <c:strCache>
                <c:ptCount val="0"/>
              </c:strCache>
            </c:strRef>
          </c:cat>
          <c:val>
            <c:numRef>
              <c:f>'BI总览'!$K$10:$K$12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8</xdr:col>
      <xdr:colOff>0</xdr:colOff>
      <xdr:row>13</xdr:row>
      <xdr:rowOff>0</xdr:rowOff>
    </xdr:from>
    <xdr:to>
      <xdr:col>16</xdr:col>
      <xdr:colOff>0</xdr:colOff>
      <xdr:row>24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ab30dcb74a142b1"/>
        </a:graphicData>
      </a:graphic>
    </xdr:graphicFrame>
    <xdr:clientData/>
  </xdr:two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WeeklyOverviewV12" displayName="WeeklyOverviewV12" ref="A4:AA5" headerRowCount="1" totalsRowCount="0" totalsRowShown="0">
  <x:autoFilter ref="A4:AA5"/>
  <x:tableColumns count="27">
    <x:tableColumn id="1" name="周期"/>
    <x:tableColumn id="2" name="开始日期"/>
    <x:tableColumn id="3" name="结束日期"/>
    <x:tableColumn id="4" name="去重事件数"/>
    <x:tableColumn id="5" name="品牌内容数"/>
    <x:tableColumn id="6" name="活跃品牌数"/>
    <x:tableColumn id="7" name="发现信号数"/>
    <x:tableColumn id="8" name="KOC内容数"/>
    <x:tableColumn id="9" name="三方内容数"/>
    <x:tableColumn id="10" name="编辑热点数"/>
    <x:tableColumn id="11" name="事件复核完成率"/>
    <x:tableColumn id="12" name="点赞有效N"/>
    <x:tableColumn id="13" name="点赞缺失数"/>
    <x:tableColumn id="14" name="点赞中位数"/>
    <x:tableColumn id="15" name="点赞P75"/>
    <x:tableColumn id="16" name="点赞均值（辅助）"/>
    <x:tableColumn id="17" name="快照时延中位数(小时)"/>
    <x:tableColumn id="18" name="快照最大时延(小时)"/>
    <x:tableColumn id="19" name="待复核事件"/>
    <x:tableColumn id="20" name="待复核内容"/>
    <x:tableColumn id="21" name="待复核关系"/>
    <x:tableColumn id="22" name="官方促销证据"/>
    <x:tableColumn id="23" name="发现层促销线索"/>
    <x:tableColumn id="24" name="可比周期数"/>
    <x:tableColumn id="25" name="环比状态"/>
    <x:tableColumn id="26" name="趋势状态"/>
    <x:tableColumn id="27" name="解读边界"/>
  </x:tableColumns>
  <x:tableStyleInfo name="TableStyleLight1" showFirstColumn="0" showLastColumn="0" showRowStripes="1" showColumnStripes="0"/>
</x:table>
</file>

<file path=xl/tables/table2.xml><?xml version="1.0" encoding="utf-8"?>
<x:table xmlns:x="http://schemas.openxmlformats.org/spreadsheetml/2006/main" id="2" name="ThemeMetricsV12" displayName="ThemeMetricsV12" ref="A4:O7" headerRowCount="1" totalsRowCount="0" totalsRowShown="0">
  <x:autoFilter ref="A4:O7"/>
  <x:tableColumns count="15">
    <x:tableColumn id="1" name="主题"/>
    <x:tableColumn id="2" name="事件数"/>
    <x:tableColumn id="3" name="内容数"/>
    <x:tableColumn id="4" name="活跃品牌"/>
    <x:tableColumn id="5" name="点赞有效N"/>
    <x:tableColumn id="6" name="点赞中位数"/>
    <x:tableColumn id="7" name="点赞P75"/>
    <x:tableColumn id="8" name="点赞均值（辅助）"/>
    <x:tableColumn id="9" name="点赞P90"/>
    <x:tableColumn id="10" name="最大值"/>
    <x:tableColumn id="11" name="代表事件"/>
    <x:tableColumn id="12" name="前三事件内容占比"/>
    <x:tableColumn id="13" name="样本标识"/>
    <x:tableColumn id="14" name="审核状态"/>
    <x:tableColumn id="15" name="指标边界"/>
  </x:tableColumns>
  <x:tableStyleInfo name="TableStyleLight1" showFirstColumn="0" showLastColumn="0" showRowStripes="1" showColumnStripes="0"/>
</x:table>
</file>

<file path=xl/tables/table3.xml><?xml version="1.0" encoding="utf-8"?>
<x:table xmlns:x="http://schemas.openxmlformats.org/spreadsheetml/2006/main" id="3" name="TagMetricsV12" displayName="TagMetricsV12" ref="A4:O29" headerRowCount="1" totalsRowCount="0" totalsRowShown="0">
  <x:autoFilter ref="A4:O29"/>
  <x:tableColumns count="15">
    <x:tableColumn id="1" name="标签"/>
    <x:tableColumn id="2" name="标签维度"/>
    <x:tableColumn id="3" name="所属主题"/>
    <x:tableColumn id="4" name="事件数"/>
    <x:tableColumn id="5" name="内容数"/>
    <x:tableColumn id="6" name="活跃品牌"/>
    <x:tableColumn id="7" name="点赞有效N"/>
    <x:tableColumn id="8" name="点赞中位数"/>
    <x:tableColumn id="9" name="点赞P75"/>
    <x:tableColumn id="10" name="点赞均值（辅助）"/>
    <x:tableColumn id="11" name="最大值"/>
    <x:tableColumn id="12" name="待复核事件"/>
    <x:tableColumn id="13" name="样本标识"/>
    <x:tableColumn id="14" name="审核状态"/>
    <x:tableColumn id="15" name="指标边界"/>
  </x:tableColumns>
  <x:tableStyleInfo name="TableStyleLight1" showFirstColumn="0" showLastColumn="0" showRowStripes="1" showColumnStripes="0"/>
</x:table>
</file>

<file path=xl/tables/table4.xml><?xml version="1.0" encoding="utf-8"?>
<x:table xmlns:x="http://schemas.openxmlformats.org/spreadsheetml/2006/main" id="4" name="ProductCategoryV12" displayName="ProductCategoryV12" ref="A4:M27" headerRowCount="1" totalsRowCount="0" totalsRowShown="0">
  <x:autoFilter ref="A4:M27"/>
  <x:tableColumns count="13">
    <x:tableColumn id="1" name="层级"/>
    <x:tableColumn id="2" name="品类"/>
    <x:tableColumn id="3" name="上级品类"/>
    <x:tableColumn id="4" name="事件数"/>
    <x:tableColumn id="5" name="内容数"/>
    <x:tableColumn id="6" name="活跃品牌"/>
    <x:tableColumn id="7" name="点赞有效N"/>
    <x:tableColumn id="8" name="点赞中位数"/>
    <x:tableColumn id="9" name="点赞P75"/>
    <x:tableColumn id="10" name="点赞均值（辅助）"/>
    <x:tableColumn id="11" name="最大值"/>
    <x:tableColumn id="12" name="样本标识"/>
    <x:tableColumn id="13" name="代表内容ID"/>
  </x:tableColumns>
  <x:tableStyleInfo name="TableStyleLight1" showFirstColumn="0" showLastColumn="0" showRowStripes="1" showColumnStripes="0"/>
</x:table>
</file>

<file path=xl/tables/table5.xml><?xml version="1.0" encoding="utf-8"?>
<x:table xmlns:x="http://schemas.openxmlformats.org/spreadsheetml/2006/main" id="5" name="IngredientMetricsV12" displayName="IngredientMetricsV12" ref="A4:L20" headerRowCount="1" totalsRowCount="0" totalsRowShown="0">
  <x:autoFilter ref="A4:L20"/>
  <x:tableColumns count="12">
    <x:tableColumn id="1" name="原料/元素"/>
    <x:tableColumn id="2" name="归属"/>
    <x:tableColumn id="3" name="信号级别"/>
    <x:tableColumn id="4" name="事件数"/>
    <x:tableColumn id="5" name="内容数"/>
    <x:tableColumn id="6" name="活跃品牌"/>
    <x:tableColumn id="7" name="点赞有效N"/>
    <x:tableColumn id="8" name="点赞中位数"/>
    <x:tableColumn id="9" name="点赞P75"/>
    <x:tableColumn id="10" name="点赞均值（辅助）"/>
    <x:tableColumn id="11" name="最大值"/>
    <x:tableColumn id="12" name="样本标识"/>
  </x:tableColumns>
  <x:tableStyleInfo name="TableStyleLight1" showFirstColumn="0" showLastColumn="0" showRowStripes="1" showColumnStripes="0"/>
</x:table>
</file>

<file path=xl/tables/table6.xml><?xml version="1.0" encoding="utf-8"?>
<x:table xmlns:x="http://schemas.openxmlformats.org/spreadsheetml/2006/main" id="6" name="CollaborationMetricsV12" displayName="CollaborationMetricsV12" ref="A4:L12" headerRowCount="1" totalsRowCount="0" totalsRowShown="0">
  <x:autoFilter ref="A4:L12"/>
  <x:tableColumns count="12">
    <x:tableColumn id="1" name="联名方/IP"/>
    <x:tableColumn id="2" name="类型"/>
    <x:tableColumn id="3" name="信号级别"/>
    <x:tableColumn id="4" name="事件数"/>
    <x:tableColumn id="5" name="内容数"/>
    <x:tableColumn id="6" name="活跃品牌"/>
    <x:tableColumn id="7" name="点赞有效N"/>
    <x:tableColumn id="8" name="点赞中位数"/>
    <x:tableColumn id="9" name="点赞P75"/>
    <x:tableColumn id="10" name="点赞均值（辅助）"/>
    <x:tableColumn id="11" name="最大值"/>
    <x:tableColumn id="12" name="样本标识"/>
  </x:tableColumns>
  <x:tableStyleInfo name="TableStyleLight1" showFirstColumn="0" showLastColumn="0" showRowStripes="1" showColumnStripes="0"/>
</x:table>
</file>

<file path=xl/tables/table7.xml><?xml version="1.0" encoding="utf-8"?>
<x:table xmlns:x="http://schemas.openxmlformats.org/spreadsheetml/2006/main" id="7" name="PromotionSummaryV12" displayName="PromotionSummaryV12" ref="A5:G11" headerRowCount="1" totalsRowCount="0" totalsRowShown="0">
  <x:autoFilter ref="A5:G11"/>
  <x:tableColumns count="7">
    <x:tableColumn id="1" name="来源层"/>
    <x:tableColumn id="2" name="促销类型"/>
    <x:tableColumn id="3" name="证据数"/>
    <x:tableColumn id="4" name="活跃品牌"/>
    <x:tableColumn id="5" name="已审核"/>
    <x:tableColumn id="6" name="待复核"/>
    <x:tableColumn id="7" name="进入官方KPI"/>
  </x:tableColumns>
  <x:tableStyleInfo name="TableStyleLight1" showFirstColumn="0" showLastColumn="0" showRowStripes="1" showColumnStripes="0"/>
</x:table>
</file>

<file path=xl/tables/table8.xml><?xml version="1.0" encoding="utf-8"?>
<x:table xmlns:x="http://schemas.openxmlformats.org/spreadsheetml/2006/main" id="8" name="PromotionEvidenceV12" displayName="PromotionEvidenceV12" ref="A15:K24" headerRowCount="1" totalsRowCount="0" totalsRowShown="0">
  <x:autoFilter ref="A15:K24"/>
  <x:tableColumns count="11">
    <x:tableColumn id="1" name="来源层"/>
    <x:tableColumn id="2" name="品牌"/>
    <x:tableColumn id="3" name="类型"/>
    <x:tableColumn id="4" name="机制"/>
    <x:tableColumn id="5" name="开始日期"/>
    <x:tableColumn id="6" name="结束日期"/>
    <x:tableColumn id="7" name="证据说明"/>
    <x:tableColumn id="8" name="原帖链接"/>
    <x:tableColumn id="9" name="审核状态"/>
    <x:tableColumn id="10" name="进入官方KPI"/>
    <x:tableColumn id="11" name="抓取时间"/>
  </x:tableColumns>
  <x:tableStyleInfo name="TableStyleLight1" showFirstColumn="0" showLastColumn="0" showRowStripes="1" showColumnStripes="0"/>
</x:table>
</file>

<file path=xl/tables/table9.xml><?xml version="1.0" encoding="utf-8"?>
<x:table xmlns:x="http://schemas.openxmlformats.org/spreadsheetml/2006/main" id="9" name="BrandMetricsV12" displayName="BrandMetricsV12" ref="A4:N13" headerRowCount="1" totalsRowCount="0" totalsRowShown="0">
  <x:autoFilter ref="A4:N13"/>
  <x:tableColumns count="14">
    <x:tableColumn id="1" name="品牌"/>
    <x:tableColumn id="2" name="事件数"/>
    <x:tableColumn id="3" name="内容数"/>
    <x:tableColumn id="4" name="覆盖主题数"/>
    <x:tableColumn id="5" name="待复核事件"/>
    <x:tableColumn id="6" name="点赞有效N"/>
    <x:tableColumn id="7" name="点赞中位数"/>
    <x:tableColumn id="8" name="点赞P75"/>
    <x:tableColumn id="9" name="点赞均值（辅助）"/>
    <x:tableColumn id="10" name="最大值"/>
    <x:tableColumn id="11" name="快照时延中位数(小时)"/>
    <x:tableColumn id="12" name="快照最大时延(小时)"/>
    <x:tableColumn id="13" name="样本标识"/>
    <x:tableColumn id="14" name="代表内容ID"/>
  </x:tableColumns>
  <x:tableStyleInfo name="TableStyleLight1" showFirstColumn="0" showLastColumn="0" showRowStripes="1" showColumnStripes="0"/>
</x:table>
</file>

<file path=xl/tables/table10.xml><?xml version="1.0" encoding="utf-8"?>
<x:table xmlns:x="http://schemas.openxmlformats.org/spreadsheetml/2006/main" id="10" name="HotspotTopicsV12" displayName="HotspotTopicsV12" ref="A4:I7" headerRowCount="1" totalsRowCount="0" totalsRowShown="0">
  <x:autoFilter ref="A4:I7"/>
  <x:tableColumns count="9">
    <x:tableColumn id="1" name="序号"/>
    <x:tableColumn id="2" name="热棗/热句"/>
    <x:tableColumn id="3" name="通俗解释"/>
    <x:tableColumn id="4" name="为什么是现在"/>
    <x:tableColumn id="5" name="品牌应用思路"/>
    <x:tableColumn id="6" name="点赞快照"/>
    <x:tableColumn id="7" name="原帖链接"/>
    <x:tableColumn id="8" name="审核状态"/>
    <x:tableColumn id="9" name="解读边界"/>
  </x:tableColumns>
  <x:tableStyleInfo name="TableStyleLight1" showFirstColumn="0" showLastColumn="0" showRowStripes="1" showColumnStripes="0"/>
</x:table>
</file>

<file path=xl/tables/table11.xml><?xml version="1.0" encoding="utf-8"?>
<x:table xmlns:x="http://schemas.openxmlformats.org/spreadsheetml/2006/main" id="11" name="DataInventoryV12" displayName="DataInventoryV12" ref="A4:G19" headerRowCount="1" totalsRowCount="0" totalsRowShown="0">
  <x:autoFilter ref="A4:G19"/>
  <x:tableColumns count="7">
    <x:tableColumn id="1" name="表名"/>
    <x:tableColumn id="2" name="用途"/>
    <x:tableColumn id="3" name="数据行数"/>
    <x:tableColumn id="4" name="粒度"/>
    <x:tableColumn id="5" name="主键/唯一键"/>
    <x:tableColumn id="6" name="来源层"/>
    <x:tableColumn id="7" name="文件位置"/>
  </x:tableColumns>
  <x:tableStyleInfo name="TableStyleLight1" showFirstColumn="0" showLastColumn="0" showRowStripes="1" showColumnStripes="0"/>
</x:table>
</file>

<file path=xl/tables/table12.xml><?xml version="1.0" encoding="utf-8"?>
<x:table xmlns:x="http://schemas.openxmlformats.org/spreadsheetml/2006/main" id="12" name="FieldDictionaryV12" displayName="FieldDictionaryV12" ref="A4:H34" headerRowCount="1" totalsRowCount="0" totalsRowShown="0">
  <x:autoFilter ref="A4:H34"/>
  <x:tableColumns count="8">
    <x:tableColumn id="1" name="表名"/>
    <x:tableColumn id="2" name="字段名"/>
    <x:tableColumn id="3" name="数据类型"/>
    <x:tableColumn id="4" name="必填"/>
    <x:tableColumn id="5" name="字段含义"/>
    <x:tableColumn id="6" name="数据血缘"/>
    <x:tableColumn id="7" name="校验规则"/>
    <x:tableColumn id="8" name="规则版本"/>
  </x:tableColumns>
  <x:tableStyleInfo name="TableStyleLight1" showFirstColumn="0" showLastColumn="0" showRowStripes="1" showColumnStripes="0"/>
</x:table>
</file>

<file path=xl/tables/table13.xml><?xml version="1.0" encoding="utf-8"?>
<x:table xmlns:x="http://schemas.openxmlformats.org/spreadsheetml/2006/main" id="13" name="MetricDictionaryV12" displayName="MetricDictionaryV12" ref="A4:H24" headerRowCount="1" totalsRowCount="0" totalsRowShown="0">
  <x:autoFilter ref="A4:H24"/>
  <x:tableColumns count="8">
    <x:tableColumn id="1" name="指标ID"/>
    <x:tableColumn id="2" name="指标名"/>
    <x:tableColumn id="3" name="公式"/>
    <x:tableColumn id="4" name="粒度"/>
    <x:tableColumn id="5" name="来源范围"/>
    <x:tableColumn id="6" name="指标角色"/>
    <x:tableColumn id="7" name="解读规则"/>
    <x:tableColumn id="8" name="版本"/>
  </x:tableColumns>
  <x:tableStyleInfo name="TableStyleLight1" showFirstColumn="0" showLastColumn="0" showRowStripes="1" showColumnStripes="0"/>
</x:table>
</file>

<file path=xl/tables/table14.xml><?xml version="1.0" encoding="utf-8"?>
<x:table xmlns:x="http://schemas.openxmlformats.org/spreadsheetml/2006/main" id="14" name="TagDictionaryV12" displayName="TagDictionaryV12" ref="A4:R58" headerRowCount="1" totalsRowCount="0" totalsRowShown="0">
  <x:autoFilter ref="A4:R58"/>
  <x:tableColumns count="18">
    <x:tableColumn id="1" name="标签ID"/>
    <x:tableColumn id="2" name="标签名"/>
    <x:tableColumn id="3" name="标签维度"/>
    <x:tableColumn id="4" name="父标签ID"/>
    <x:tableColumn id="5" name="定义"/>
    <x:tableColumn id="6" name="包含规则"/>
    <x:tableColumn id="7" name="排除规则"/>
    <x:tableColumn id="8" name="正例"/>
    <x:tableColumn id="9" name="反例"/>
    <x:tableColumn id="10" name="打标粒度"/>
    <x:tableColumn id="11" name="来源范围"/>
    <x:tableColumn id="12" name="单/多选"/>
    <x:tableColumn id="13" name="判定方式"/>
    <x:tableColumn id="14" name="置信门槛"/>
    <x:tableColumn id="15" name="状态"/>
    <x:tableColumn id="16" name="版本"/>
    <x:tableColumn id="17" name="生效日期"/>
    <x:tableColumn id="18" name="变更原因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ae5c3c49b1b84b6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68e7d8ae5ef84a3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1c2fa6ef31a74b0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96286f4f3875414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13c745f2ff914e8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1ef65fb47a9747e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cad48c1b2b8a402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38a1e209b28d4914" /><Relationship Type="http://schemas.openxmlformats.org/officeDocument/2006/relationships/table" Target="/xl/tables/table8.xml" Id="Rccfe97dccbe845d7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103711e58c5543a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67ceb42a61674fe1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1.xml" Id="R7ac256fa5f224dc3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2.xml" Id="R59c69a9656a7441f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3.xml" Id="R5f93c06ad87d4b3a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4.xml" Id="Rfd01f0d05cc24a3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34" hidden="0" customWidth="1"/>
    <x:col min="3" max="3" width="20" hidden="0" customWidth="1"/>
    <x:col min="4" max="4" width="22" hidden="0" customWidth="1"/>
    <x:col min="5" max="5" width="38" hidden="0" customWidth="1"/>
    <x:col min="6" max="6" width="18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</x:cols>
  <x:sheetData>
    <x:row r="1" ht="36" customHeight="1">
      <x:c r="A1" s="3" t="str">
        <x:v>饮品热点雷达 V1.2｜BI 数据中心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34" customHeight="1">
      <x:c r="A2" s="7" t="str">
        <x:v>统计周期：2026-07-21 至 2026-07-27｜生成时间：2026-08-05T03:26:09.000Z｜指标版本：bi-metric-v1.2</x:v>
      </x:c>
      <x:c r="B2" s="7"/>
      <x:c r="C2" s="7"/>
      <x:c r="D2" s="7"/>
      <x:c r="E2" s="7"/>
      <x:c r="F2" s="7"/>
      <x:c r="G2" s="7"/>
      <x:c r="H2" s="7"/>
      <x:c r="I2" s="7"/>
      <x:c r="J2" s="7"/>
    </x:row>
    <x:row r="4">
      <x:c r="A4" s="10" t="str">
        <x:v>这份工作簿解决什么</x:v>
      </x:c>
      <x:c r="B4" s="10"/>
      <x:c r="C4" s="10"/>
      <x:c r="D4" s="10"/>
      <x:c r="E4" s="10"/>
      <x:c r="F4" s="10"/>
      <x:c r="G4" s="10"/>
      <x:c r="H4" s="10"/>
      <x:c r="I4" s="10"/>
      <x:c r="J4" s="10"/>
    </x:row>
    <x:row r="5" ht="30" customHeight="1">
      <x:c r="A5" s="25" t="str">
        <x:v>将已登记的小红书品牌官号内容，按“去重事件—主题—细标签—品类/原料/联名/促销”分层组织，供业务方看结构、看差异、看证据与复核进度。中位数和 P75 是主要互动口径，均值只作辅助；点赞快照不代表销量、转化或行业规模。</x:v>
      </x:c>
      <x:c r="B5" s="26"/>
      <x:c r="C5" s="26"/>
      <x:c r="D5" s="26"/>
      <x:c r="E5" s="26"/>
      <x:c r="F5" s="26"/>
      <x:c r="G5" s="26"/>
      <x:c r="H5" s="26"/>
      <x:c r="I5" s="26"/>
      <x:c r="J5" s="27"/>
    </x:row>
    <x:row r="6" ht="30" customHeight="1">
      <x:c r="A6" s="28"/>
      <x:c r="B6" s="29"/>
      <x:c r="C6" s="29"/>
      <x:c r="D6" s="29"/>
      <x:c r="E6" s="29"/>
      <x:c r="F6" s="29"/>
      <x:c r="G6" s="29"/>
      <x:c r="H6" s="29"/>
      <x:c r="I6" s="29"/>
      <x:c r="J6" s="30"/>
    </x:row>
    <x:row r="8">
      <x:c r="A8" s="34" t="str">
        <x:v>数据层</x:v>
      </x:c>
      <x:c r="B8" s="34" t="str">
        <x:v>用途</x:v>
      </x:c>
      <x:c r="C8" s="34" t="str">
        <x:v>是否进入品牌 KPI</x:v>
      </x:c>
      <x:c r="D8" s="34" t="str">
        <x:v>主要产出</x:v>
      </x:c>
      <x:c r="E8" s="34" t="str">
        <x:v>管理要求</x:v>
      </x:c>
    </x:row>
    <x:row r="9" ht="34" customHeight="1">
      <x:c r="A9" s="42" t="str">
        <x:v>品牌官号</x:v>
      </x:c>
      <x:c r="B9" s="42" t="str">
        <x:v>事实、事件、产品与促销证据</x:v>
      </x:c>
      <x:c r="C9" s="42" t="str">
        <x:v>是</x:v>
      </x:c>
      <x:c r="D9" s="42" t="str">
        <x:v>BI 主指标</x:v>
      </x:c>
      <x:c r="E9" s="42" t="str">
        <x:v>仅使用可回读原帖与已复核关系</x:v>
      </x:c>
    </x:row>
    <x:row r="10" ht="34" customHeight="1">
      <x:c r="A10" s="43" t="str">
        <x:v>行业资讯/三方</x:v>
      </x:c>
      <x:c r="B10" s="43" t="str">
        <x:v>发现促销、品牌动态线索</x:v>
      </x:c>
      <x:c r="C10" s="43" t="str">
        <x:v>否</x:v>
      </x:c>
      <x:c r="D10" s="43" t="str">
        <x:v>补充观察</x:v>
      </x:c>
      <x:c r="E10" s="43" t="str">
        <x:v>不与官方 KPI 混算</x:v>
      </x:c>
    </x:row>
    <x:row r="11" ht="34" customHeight="1">
      <x:c r="A11" s="43" t="str">
        <x:v>KOC</x:v>
      </x:c>
      <x:c r="B11" s="43" t="str">
        <x:v>用户体验与讨论信号</x:v>
      </x:c>
      <x:c r="C11" s="43" t="str">
        <x:v>否</x:v>
      </x:c>
      <x:c r="D11" s="43" t="str">
        <x:v>观察补充</x:v>
      </x:c>
      <x:c r="E11" s="43" t="str">
        <x:v>不转写为品牌事实</x:v>
      </x:c>
    </x:row>
    <x:row r="12" ht="34" customHeight="1">
      <x:c r="A12" s="44" t="str">
        <x:v>编辑热点账号</x:v>
      </x:c>
      <x:c r="B12" s="44" t="str">
        <x:v>近 7 日热棗与选题参考</x:v>
      </x:c>
      <x:c r="C12" s="44" t="str">
        <x:v>否</x:v>
      </x:c>
      <x:c r="D12" s="44" t="str">
        <x:v>热点选题</x:v>
      </x:c>
      <x:c r="E12" s="44" t="str">
        <x:v>不冒充全平台热度排名</x:v>
      </x:c>
    </x:row>
    <x:row r="15">
      <x:c r="A15" s="47" t="str">
        <x:v>阅读顺序与口径</x:v>
      </x:c>
      <x:c r="B15" s="47"/>
      <x:c r="C15" s="47"/>
      <x:c r="D15" s="47"/>
      <x:c r="E15" s="47"/>
      <x:c r="F15" s="47"/>
      <x:c r="G15" s="47"/>
      <x:c r="H15" s="47"/>
      <x:c r="I15" s="47"/>
      <x:c r="J15" s="47"/>
    </x:row>
    <x:row r="16">
      <x:c r="A16" s="51" t="str">
        <x:v>顺序</x:v>
      </x:c>
      <x:c r="B16" s="51" t="str">
        <x:v>看什么</x:v>
      </x:c>
      <x:c r="C16" s="51" t="str">
        <x:v>如何解读</x:v>
      </x:c>
      <x:c r="F16" s="51" t="str">
        <x:v>口径</x:v>
      </x:c>
      <x:c r="G16" s="51" t="str">
        <x:v>主规则</x:v>
      </x:c>
      <x:c r="H16" s="51"/>
      <x:c r="I16" s="51"/>
      <x:c r="J16" s="51"/>
    </x:row>
    <x:row r="17" ht="34" customHeight="1">
      <x:c r="A17" s="42" t="str">
        <x:v>1</x:v>
      </x:c>
      <x:c r="B17" s="42" t="str">
        <x:v>BI总览</x:v>
      </x:c>
      <x:c r="C17" s="42" t="str">
        <x:v>先看总量、审核完成率、三个主题及关键结论</x:v>
      </x:c>
      <x:c r="F17" s="42" t="str">
        <x:v>主互动指标</x:v>
      </x:c>
      <x:c r="G17" s="42" t="str">
        <x:v>点赞中位数 + P75；同时展示有效N</x:v>
      </x:c>
      <x:c r="H17" s="42"/>
      <x:c r="I17" s="42"/>
      <x:c r="J17" s="42"/>
    </x:row>
    <x:row r="18" ht="34" customHeight="1">
      <x:c r="A18" s="43" t="str">
        <x:v>2</x:v>
      </x:c>
      <x:c r="B18" s="43" t="str">
        <x:v>主题与标签</x:v>
      </x:c>
      <x:c r="C18" s="43" t="str">
        <x:v>事件数看业务动作广度；内容数看发布密度；标签可重叠</x:v>
      </x:c>
      <x:c r="F18" s="43" t="str">
        <x:v>辅助指标</x:v>
      </x:c>
      <x:c r="G18" s="43" t="str">
        <x:v>均值和最大值只用于识别长尾与极值</x:v>
      </x:c>
      <x:c r="H18" s="43"/>
      <x:c r="I18" s="43"/>
      <x:c r="J18" s="43"/>
    </x:row>
    <x:row r="19" ht="34" customHeight="1">
      <x:c r="A19" s="43" t="str">
        <x:v>3</x:v>
      </x:c>
      <x:c r="B19" s="43" t="str">
        <x:v>品类/原料/联名/促销/品牌</x:v>
      </x:c>
      <x:c r="C19" s="43" t="str">
        <x:v>用于拆解结构；N&lt;5 的小样本不做强弱排名</x:v>
      </x:c>
      <x:c r="F19" s="43" t="str">
        <x:v>趋势</x:v>
      </x:c>
      <x:c r="G19" s="43" t="str">
        <x:v>至少 2 个可比周才开启环比，至少 4 周才写趋势</x:v>
      </x:c>
      <x:c r="H19" s="43"/>
      <x:c r="I19" s="43"/>
      <x:c r="J19" s="43"/>
    </x:row>
    <x:row r="20" ht="34" customHeight="1">
      <x:c r="A20" s="44" t="str">
        <x:v>4</x:v>
      </x:c>
      <x:c r="B20" s="44" t="str">
        <x:v>质量与复核</x:v>
      </x:c>
      <x:c r="C20" s="44" t="str">
        <x:v>先消化高优先级异常，再更新标签与结论</x:v>
      </x:c>
      <x:c r="F20" s="44" t="str">
        <x:v>边界</x:v>
      </x:c>
      <x:c r="G20" s="44" t="str">
        <x:v>本期仅代表已登记账号和当期窗口</x:v>
      </x:c>
      <x:c r="H20" s="44"/>
      <x:c r="I20" s="44"/>
      <x:c r="J20" s="44"/>
    </x:row>
  </x:sheetData>
  <x:mergeCells>
    <x:mergeCell ref="A1:J1"/>
    <x:mergeCell ref="A2:J2"/>
    <x:mergeCell ref="A4:J4"/>
    <x:mergeCell ref="A5:J6"/>
    <x:mergeCell ref="A15:J15"/>
    <x:mergeCell ref="G16:J16"/>
    <x:mergeCell ref="G17:J17"/>
    <x:mergeCell ref="G18:J18"/>
    <x:mergeCell ref="G19:J19"/>
    <x:mergeCell ref="G20:J2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11" hidden="0" customWidth="1"/>
    <x:col min="3" max="3" width="11" hidden="0" customWidth="1"/>
    <x:col min="4" max="4" width="13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7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</x:cols>
  <x:sheetData>
    <x:row r="1" ht="36" customHeight="1">
      <x:c r="A1" s="3" t="str">
        <x:v>饮品热点雷达 V1.2｜BI 总览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</x:row>
    <x:row r="2" ht="34" customHeight="1">
      <x:c r="A2" s="7" t="str">
        <x:v>结论先行：先看去重事件、内容与品牌覆盖，再用中位数、P75 与有效N判断分布；均值仅作辅助。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</x:row>
    <x:row r="4" ht="25" customHeight="1">
      <x:c r="A4" s="71" t="str">
        <x:v>去重事件</x:v>
      </x:c>
      <x:c r="B4" s="72"/>
      <x:c r="C4" s="72"/>
      <x:c r="D4" s="73"/>
      <x:c r="E4" s="71" t="str">
        <x:v>品牌内容</x:v>
      </x:c>
      <x:c r="F4" s="72"/>
      <x:c r="G4" s="72"/>
      <x:c r="H4" s="73"/>
      <x:c r="I4" s="71" t="str">
        <x:v>活跃品牌</x:v>
      </x:c>
      <x:c r="J4" s="72"/>
      <x:c r="K4" s="72"/>
      <x:c r="L4" s="73"/>
      <x:c r="M4" s="71" t="str">
        <x:v>事件复核完成率</x:v>
      </x:c>
      <x:c r="N4" s="72"/>
      <x:c r="O4" s="72"/>
      <x:c r="P4" s="73"/>
    </x:row>
    <x:row r="5" ht="28" customHeight="1">
      <x:c r="A5" s="93" t="str">
        <x:f>'周度总表'!D5</x:f>
        <x:v>35</x:v>
      </x:c>
      <x:c r="B5" s="88"/>
      <x:c r="C5" s="88"/>
      <x:c r="D5" s="89"/>
      <x:c r="E5" s="93" t="n">
        <x:f>'周度总表'!E5</x:f>
        <x:v>94</x:v>
      </x:c>
      <x:c r="F5" s="88"/>
      <x:c r="G5" s="88"/>
      <x:c r="H5" s="89"/>
      <x:c r="I5" s="93" t="n">
        <x:f>'周度总表'!F5</x:f>
        <x:v>9</x:v>
      </x:c>
      <x:c r="J5" s="88"/>
      <x:c r="K5" s="88"/>
      <x:c r="L5" s="89"/>
      <x:c r="M5" s="104" t="n">
        <x:f>'周度总表'!K5</x:f>
        <x:v>1</x:v>
      </x:c>
      <x:c r="N5" s="88"/>
      <x:c r="O5" s="88"/>
      <x:c r="P5" s="89"/>
    </x:row>
    <x:row r="6" ht="28" customHeight="1">
      <x:c r="A6" s="90"/>
      <x:c r="B6" s="91"/>
      <x:c r="C6" s="91"/>
      <x:c r="D6" s="92"/>
      <x:c r="E6" s="90"/>
      <x:c r="F6" s="91"/>
      <x:c r="G6" s="91"/>
      <x:c r="H6" s="92"/>
      <x:c r="I6" s="90"/>
      <x:c r="J6" s="91"/>
      <x:c r="K6" s="91"/>
      <x:c r="L6" s="92"/>
      <x:c r="M6" s="90"/>
      <x:c r="N6" s="91"/>
      <x:c r="O6" s="91"/>
      <x:c r="P6" s="92"/>
    </x:row>
    <x:row r="7" ht="28" customHeight="1">
      <x:c r="A7" s="101" t="str">
        <x:v>主题允许重叠，事件总数不重复计算</x:v>
      </x:c>
      <x:c r="B7" s="102"/>
      <x:c r="C7" s="102"/>
      <x:c r="D7" s="103"/>
      <x:c r="E7" s="101" t="str">
        <x:v>仅已登记品牌官号内容</x:v>
      </x:c>
      <x:c r="F7" s="102"/>
      <x:c r="G7" s="102"/>
      <x:c r="H7" s="103"/>
      <x:c r="I7" s="101" t="str">
        <x:v>本周存在有效内容的品牌</x:v>
      </x:c>
      <x:c r="J7" s="102"/>
      <x:c r="K7" s="102"/>
      <x:c r="L7" s="103"/>
      <x:c r="M7" s="101" t="str">
        <x:v>本期已完成事件复核，决议单独留痕</x:v>
      </x:c>
      <x:c r="N7" s="102"/>
      <x:c r="O7" s="102"/>
      <x:c r="P7" s="103"/>
    </x:row>
    <x:row r="9">
      <x:c r="A9" s="10" t="str">
        <x:v>三大核心主题</x:v>
      </x:c>
      <x:c r="B9" s="10"/>
      <x:c r="C9" s="10"/>
      <x:c r="D9" s="10"/>
      <x:c r="E9" s="10"/>
      <x:c r="F9" s="10"/>
      <x:c r="G9" s="10"/>
      <x:c r="I9" s="51" t="str">
        <x:v>主题</x:v>
      </x:c>
      <x:c r="J9" s="51" t="str">
        <x:v>中位数</x:v>
      </x:c>
      <x:c r="K9" s="51" t="str">
        <x:v>P75</x:v>
      </x:c>
    </x:row>
    <x:row r="10">
      <x:c r="A10" s="117" t="str">
        <x:v>主题</x:v>
      </x:c>
      <x:c r="B10" s="118" t="str">
        <x:v>事件数</x:v>
      </x:c>
      <x:c r="C10" s="118" t="str">
        <x:v>内容数</x:v>
      </x:c>
      <x:c r="D10" s="118" t="str">
        <x:v>活跃品牌</x:v>
      </x:c>
      <x:c r="E10" s="118" t="str">
        <x:v>点赞中位数</x:v>
      </x:c>
      <x:c r="F10" s="118" t="str">
        <x:v>点赞P75</x:v>
      </x:c>
      <x:c r="G10" s="119" t="str">
        <x:v>均值（辅助）</x:v>
      </x:c>
      <x:c r="I10" s="108" t="str">
        <x:f>A11</x:f>
        <x:v>产品动作</x:v>
      </x:c>
      <x:c r="J10" s="114" t="n">
        <x:f>E11</x:f>
        <x:v>612</x:v>
      </x:c>
      <x:c r="K10" s="114" t="n">
        <x:f>F11</x:f>
        <x:v>1207</x:v>
      </x:c>
    </x:row>
    <x:row r="11">
      <x:c r="A11" s="120" t="str">
        <x:f>'主题指标'!A5</x:f>
        <x:v>产品动作</x:v>
      </x:c>
      <x:c r="B11" s="114" t="n">
        <x:f>'主题指标'!B5</x:f>
        <x:v>20</x:v>
      </x:c>
      <x:c r="C11" s="114" t="n">
        <x:f>'主题指标'!C5</x:f>
        <x:v>77</x:v>
      </x:c>
      <x:c r="D11" s="114" t="n">
        <x:f>'主题指标'!D5</x:f>
        <x:v>9</x:v>
      </x:c>
      <x:c r="E11" s="111" t="n">
        <x:f>'主题指标'!F5</x:f>
        <x:v>612</x:v>
      </x:c>
      <x:c r="F11" s="111" t="n">
        <x:f>'主题指标'!G5</x:f>
        <x:v>1207</x:v>
      </x:c>
      <x:c r="G11" s="121" t="n">
        <x:f>'主题指标'!H5</x:f>
        <x:v>1320.19</x:v>
      </x:c>
      <x:c r="I11" s="109" t="str">
        <x:f>A12</x:f>
        <x:v>联名合作</x:v>
      </x:c>
      <x:c r="J11" s="115" t="n">
        <x:f>E12</x:f>
        <x:v>698</x:v>
      </x:c>
      <x:c r="K11" s="115" t="n">
        <x:f>F12</x:f>
        <x:v>1223.5</x:v>
      </x:c>
    </x:row>
    <x:row r="12">
      <x:c r="A12" s="122" t="str">
        <x:f>'主题指标'!A6</x:f>
        <x:v>联名合作</x:v>
      </x:c>
      <x:c r="B12" s="115" t="n">
        <x:f>'主题指标'!B6</x:f>
        <x:v>9</x:v>
      </x:c>
      <x:c r="C12" s="115" t="n">
        <x:f>'主题指标'!C6</x:f>
        <x:v>50</x:v>
      </x:c>
      <x:c r="D12" s="115" t="n">
        <x:f>'主题指标'!D6</x:f>
        <x:v>6</x:v>
      </x:c>
      <x:c r="E12" s="112" t="n">
        <x:f>'主题指标'!F6</x:f>
        <x:v>698</x:v>
      </x:c>
      <x:c r="F12" s="112" t="n">
        <x:f>'主题指标'!G6</x:f>
        <x:v>1223.5</x:v>
      </x:c>
      <x:c r="G12" s="123" t="n">
        <x:f>'主题指标'!H6</x:f>
        <x:v>1199.84</x:v>
      </x:c>
      <x:c r="I12" s="110" t="str">
        <x:f>A13</x:f>
        <x:v>品牌事件</x:v>
      </x:c>
      <x:c r="J12" s="116" t="n">
        <x:f>E13</x:f>
        <x:v>1287</x:v>
      </x:c>
      <x:c r="K12" s="116" t="n">
        <x:f>F13</x:f>
        <x:v>1798</x:v>
      </x:c>
    </x:row>
    <x:row r="13">
      <x:c r="A13" s="122" t="str">
        <x:f>'主题指标'!A7</x:f>
        <x:v>品牌事件</x:v>
      </x:c>
      <x:c r="B13" s="115" t="n">
        <x:f>'主题指标'!B7</x:f>
        <x:v>15</x:v>
      </x:c>
      <x:c r="C13" s="115" t="n">
        <x:f>'主题指标'!C7</x:f>
        <x:v>17</x:v>
      </x:c>
      <x:c r="D13" s="115" t="n">
        <x:f>'主题指标'!D7</x:f>
        <x:v>7</x:v>
      </x:c>
      <x:c r="E13" s="112" t="n">
        <x:f>'主题指标'!F7</x:f>
        <x:v>1287</x:v>
      </x:c>
      <x:c r="F13" s="112" t="n">
        <x:f>'主题指标'!G7</x:f>
        <x:v>1798</x:v>
      </x:c>
      <x:c r="G13" s="123" t="n">
        <x:f>'主题指标'!H7</x:f>
        <x:v>3523.06</x:v>
      </x:c>
    </x:row>
    <x:row r="16">
      <x:c r="A16" s="47" t="str">
        <x:v>高覆盖标签（按事件数排序）</x:v>
      </x:c>
      <x:c r="B16" s="47"/>
      <x:c r="C16" s="47"/>
      <x:c r="D16" s="47"/>
      <x:c r="E16" s="47"/>
      <x:c r="F16" s="47"/>
      <x:c r="G16" s="47"/>
    </x:row>
    <x:row r="17">
      <x:c r="A17" s="51" t="str">
        <x:v>标签</x:v>
      </x:c>
      <x:c r="B17" s="51" t="str">
        <x:v>维度</x:v>
      </x:c>
      <x:c r="C17" s="51" t="str">
        <x:v>主题</x:v>
      </x:c>
      <x:c r="D17" s="51" t="str">
        <x:v>事件数</x:v>
      </x:c>
      <x:c r="E17" s="51" t="str">
        <x:v>内容数</x:v>
      </x:c>
      <x:c r="F17" s="51" t="str">
        <x:v>点赞中位数</x:v>
      </x:c>
      <x:c r="G17" s="51" t="str">
        <x:v>审核状态</x:v>
      </x:c>
    </x:row>
    <x:row r="18">
      <x:c r="A18" s="108" t="str">
        <x:f>'标签指标'!A5</x:f>
        <x:v>柠檬</x:v>
      </x:c>
      <x:c r="B18" s="108" t="str">
        <x:f>'标签指标'!B5</x:f>
        <x:v>原料/产品元素</x:v>
      </x:c>
      <x:c r="C18" s="108" t="str">
        <x:f>'标签指标'!C5</x:f>
        <x:v>产品动作</x:v>
      </x:c>
      <x:c r="D18" s="114" t="n">
        <x:f>'标签指标'!D5</x:f>
        <x:v>5</x:v>
      </x:c>
      <x:c r="E18" s="114" t="n">
        <x:f>'标签指标'!E5</x:f>
        <x:v>18</x:v>
      </x:c>
      <x:c r="F18" s="111" t="n">
        <x:f>'标签指标'!H5</x:f>
        <x:v>790</x:v>
      </x:c>
      <x:c r="G18" s="108" t="str">
        <x:f>'标签指标'!N5</x:f>
        <x:v>approved</x:v>
      </x:c>
    </x:row>
    <x:row r="19">
      <x:c r="A19" s="109" t="str">
        <x:f>'标签指标'!A6</x:f>
        <x:v>联名产品或套餐</x:v>
      </x:c>
      <x:c r="B19" s="109" t="str">
        <x:f>'标签指标'!B6</x:f>
        <x:v>业务动作</x:v>
      </x:c>
      <x:c r="C19" s="109" t="str">
        <x:f>'标签指标'!C6</x:f>
        <x:v>产品动作</x:v>
      </x:c>
      <x:c r="D19" s="115" t="n">
        <x:f>'标签指标'!D6</x:f>
        <x:v>5</x:v>
      </x:c>
      <x:c r="E19" s="115" t="n">
        <x:f>'标签指标'!E6</x:f>
        <x:v>39</x:v>
      </x:c>
      <x:c r="F19" s="112" t="n">
        <x:f>'标签指标'!H6</x:f>
        <x:v>754</x:v>
      </x:c>
      <x:c r="G19" s="109" t="str">
        <x:f>'标签指标'!N6</x:f>
        <x:v>approved</x:v>
      </x:c>
    </x:row>
    <x:row r="20">
      <x:c r="A20" s="109" t="str">
        <x:f>'标签指标'!A7</x:f>
        <x:v>联名产品或套餐</x:v>
      </x:c>
      <x:c r="B20" s="109" t="str">
        <x:f>'标签指标'!B7</x:f>
        <x:v>业务动作</x:v>
      </x:c>
      <x:c r="C20" s="109" t="str">
        <x:f>'标签指标'!C7</x:f>
        <x:v>联名合作</x:v>
      </x:c>
      <x:c r="D20" s="115" t="n">
        <x:f>'标签指标'!D7</x:f>
        <x:v>5</x:v>
      </x:c>
      <x:c r="E20" s="115" t="n">
        <x:f>'标签指标'!E7</x:f>
        <x:v>39</x:v>
      </x:c>
      <x:c r="F20" s="112" t="n">
        <x:f>'标签指标'!H7</x:f>
        <x:v>754</x:v>
      </x:c>
      <x:c r="G20" s="109" t="str">
        <x:f>'标签指标'!N7</x:f>
        <x:v>approved</x:v>
      </x:c>
    </x:row>
    <x:row r="21">
      <x:c r="A21" s="109" t="str">
        <x:f>'标签指标'!A8</x:f>
        <x:v>新品上市</x:v>
      </x:c>
      <x:c r="B21" s="109" t="str">
        <x:f>'标签指标'!B8</x:f>
        <x:v>业务动作</x:v>
      </x:c>
      <x:c r="C21" s="109" t="str">
        <x:f>'标签指标'!C8</x:f>
        <x:v>产品动作</x:v>
      </x:c>
      <x:c r="D21" s="115" t="n">
        <x:f>'标签指标'!D8</x:f>
        <x:v>5</x:v>
      </x:c>
      <x:c r="E21" s="115" t="n">
        <x:f>'标签指标'!E8</x:f>
        <x:v>7</x:v>
      </x:c>
      <x:c r="F21" s="112" t="n">
        <x:f>'标签指标'!H8</x:f>
        <x:v>729</x:v>
      </x:c>
      <x:c r="G21" s="109" t="str">
        <x:f>'标签指标'!N8</x:f>
        <x:v>approved</x:v>
      </x:c>
    </x:row>
    <x:row r="22">
      <x:c r="A22" s="110" t="str">
        <x:f>'标签指标'!A9</x:f>
        <x:v>新店型</x:v>
      </x:c>
      <x:c r="B22" s="110" t="str">
        <x:f>'标签指标'!B9</x:f>
        <x:v>业务动作</x:v>
      </x:c>
      <x:c r="C22" s="110" t="str">
        <x:f>'标签指标'!C9</x:f>
        <x:v>品牌事件</x:v>
      </x:c>
      <x:c r="D22" s="116" t="n">
        <x:f>'标签指标'!D9</x:f>
        <x:v>3</x:v>
      </x:c>
      <x:c r="E22" s="116" t="n">
        <x:f>'标签指标'!E9</x:f>
        <x:v>3</x:v>
      </x:c>
      <x:c r="F22" s="113" t="n">
        <x:f>'标签指标'!H9</x:f>
        <x:v>1336</x:v>
      </x:c>
      <x:c r="G22" s="110" t="str">
        <x:f>'标签指标'!N9</x:f>
        <x:v>approved</x:v>
      </x:c>
    </x:row>
    <x:row r="25">
      <x:c r="A25" s="125" t="str">
        <x:v>本期关键判断</x:v>
      </x:c>
      <x:c r="B25" s="125"/>
      <x:c r="C25" s="125"/>
      <x:c r="D25" s="125"/>
      <x:c r="E25" s="125"/>
      <x:c r="F25" s="125"/>
      <x:c r="G25" s="125"/>
      <x:c r="H25" s="125"/>
      <x:c r="I25" s="125"/>
      <x:c r="J25" s="125"/>
      <x:c r="K25" s="125"/>
      <x:c r="L25" s="125"/>
      <x:c r="M25" s="125"/>
      <x:c r="N25" s="125"/>
      <x:c r="O25" s="125"/>
      <x:c r="P25" s="125"/>
    </x:row>
    <x:row r="26">
      <x:c r="A26" s="34" t="str">
        <x:v>结论</x:v>
      </x:c>
      <x:c r="B26" s="34"/>
      <x:c r="C26" s="34"/>
      <x:c r="D26" s="34" t="str">
        <x:v>证据</x:v>
      </x:c>
      <x:c r="E26" s="34"/>
      <x:c r="F26" s="34"/>
      <x:c r="G26" s="34"/>
      <x:c r="H26" s="34"/>
      <x:c r="I26" s="34"/>
      <x:c r="J26" s="34"/>
      <x:c r="K26" s="34" t="str">
        <x:v>边界</x:v>
      </x:c>
      <x:c r="L26" s="34"/>
      <x:c r="M26" s="34"/>
      <x:c r="N26" s="34"/>
      <x:c r="O26" s="34"/>
      <x:c r="P26" s="34"/>
    </x:row>
    <x:row r="27" ht="58" customHeight="1">
      <x:c r="A27" s="62" t="str">
        <x:v>产品动作：20个事件，9个品牌</x:v>
      </x:c>
      <x:c r="B27" s="62"/>
      <x:c r="C27" s="62"/>
      <x:c r="D27" s="62" t="str">
        <x:v>产品动作覆盖20个去重事件和77篇品牌内容；点赞中位数612，P75为1207，均值1320.19仅作辅助。
有效N=77｜最高=11000｜前三事件内容占比=44%｜代表案例=茶百道夏日柑橘系列</x:v>
      </x:c>
      <x:c r="E27" s="62"/>
      <x:c r="F27" s="62"/>
      <x:c r="G27" s="62"/>
      <x:c r="H27" s="62"/>
      <x:c r="I27" s="62"/>
      <x:c r="J27" s="62"/>
      <x:c r="K27" s="62" t="str">
        <x:v>主题允许重叠；产品动作的内容量与互动快照不能直接推断销量、转化或行业规模。</x:v>
      </x:c>
      <x:c r="L27" s="62"/>
      <x:c r="M27" s="62"/>
      <x:c r="N27" s="62"/>
      <x:c r="O27" s="62"/>
      <x:c r="P27" s="62"/>
    </x:row>
    <x:row r="28" ht="58" customHeight="1">
      <x:c r="A28" s="62" t="str">
        <x:v>联名合作：9个事件，6个品牌</x:v>
      </x:c>
      <x:c r="B28" s="62"/>
      <x:c r="C28" s="62"/>
      <x:c r="D28" s="62" t="str">
        <x:v>联名合作覆盖9个去重事件和50篇品牌内容；点赞中位数698，P75为1223.5，均值1199.84仅作辅助。
有效N=50｜最高=6568｜前三事件内容占比=68%｜代表案例=库迪咖啡 ×《蜘蛛侠：崭新之日》</x:v>
      </x:c>
      <x:c r="E28" s="62"/>
      <x:c r="F28" s="62"/>
      <x:c r="G28" s="62"/>
      <x:c r="H28" s="62"/>
      <x:c r="I28" s="62"/>
      <x:c r="J28" s="62"/>
      <x:c r="K28" s="62" t="str">
        <x:v>主题允许重叠；联名合作的内容量与互动快照不能直接推断销量、转化或行业规模。</x:v>
      </x:c>
      <x:c r="L28" s="62"/>
      <x:c r="M28" s="62"/>
      <x:c r="N28" s="62"/>
      <x:c r="O28" s="62"/>
      <x:c r="P28" s="62"/>
    </x:row>
    <x:row r="29" ht="58" customHeight="1">
      <x:c r="A29" s="62" t="str">
        <x:v>品牌事件：15个事件，7个品牌</x:v>
      </x:c>
      <x:c r="B29" s="62"/>
      <x:c r="C29" s="62"/>
      <x:c r="D29" s="62" t="str">
        <x:v>品牌事件覆盖15个去重事件和17篇品牌内容；点赞中位数1287，P75为1798，均值3523.06仅作辅助。
有效N=17｜最高=37000｜前三事件内容占比=29%｜代表案例=瑞幸泰国商标维权进展</x:v>
      </x:c>
      <x:c r="E29" s="62"/>
      <x:c r="F29" s="62"/>
      <x:c r="G29" s="62"/>
      <x:c r="H29" s="62"/>
      <x:c r="I29" s="62"/>
      <x:c r="J29" s="62"/>
      <x:c r="K29" s="62" t="str">
        <x:v>主题允许重叠；品牌事件的内容量与互动快照不能直接推断销量、转化或行业规模。</x:v>
      </x:c>
      <x:c r="L29" s="62"/>
      <x:c r="M29" s="62"/>
      <x:c r="N29" s="62"/>
      <x:c r="O29" s="62"/>
      <x:c r="P29" s="62"/>
    </x:row>
    <x:row r="32" ht="36" customHeight="1">
      <x:c r="A32" s="135" t="str">
        <x:v>解读提醒：主题可重叠，不得把三个主题的事件数相加当作总事件；当前只有 1 个可比周期，环比与趋势判断暂不开启。</x:v>
      </x:c>
      <x:c r="B32" s="136"/>
      <x:c r="C32" s="136"/>
      <x:c r="D32" s="136"/>
      <x:c r="E32" s="136"/>
      <x:c r="F32" s="136"/>
      <x:c r="G32" s="136"/>
      <x:c r="H32" s="136"/>
      <x:c r="I32" s="136"/>
      <x:c r="J32" s="136"/>
      <x:c r="K32" s="136"/>
      <x:c r="L32" s="136"/>
      <x:c r="M32" s="136"/>
      <x:c r="N32" s="136"/>
      <x:c r="O32" s="136"/>
      <x:c r="P32" s="137"/>
    </x:row>
  </x:sheetData>
  <x:mergeCells>
    <x:mergeCell ref="A1:P1"/>
    <x:mergeCell ref="A2:P2"/>
    <x:mergeCell ref="A4:D4"/>
    <x:mergeCell ref="A5:D6"/>
    <x:mergeCell ref="A7:D7"/>
    <x:mergeCell ref="E4:H4"/>
    <x:mergeCell ref="E5:H6"/>
    <x:mergeCell ref="E7:H7"/>
    <x:mergeCell ref="I4:L4"/>
    <x:mergeCell ref="I5:L6"/>
    <x:mergeCell ref="I7:L7"/>
    <x:mergeCell ref="M4:P4"/>
    <x:mergeCell ref="M5:P6"/>
    <x:mergeCell ref="M7:P7"/>
    <x:mergeCell ref="A9:G9"/>
    <x:mergeCell ref="A16:G16"/>
    <x:mergeCell ref="A25:P25"/>
    <x:mergeCell ref="A26:C26"/>
    <x:mergeCell ref="D26:J26"/>
    <x:mergeCell ref="K26:P26"/>
    <x:mergeCell ref="A27:C27"/>
    <x:mergeCell ref="D27:J27"/>
    <x:mergeCell ref="K27:P27"/>
    <x:mergeCell ref="A28:C28"/>
    <x:mergeCell ref="D28:J28"/>
    <x:mergeCell ref="K28:P28"/>
    <x:mergeCell ref="A29:C29"/>
    <x:mergeCell ref="D29:J29"/>
    <x:mergeCell ref="K29:P29"/>
    <x:mergeCell ref="A32:P32"/>
  </x:mergeCells>
  <x:conditionalFormatting sqref="G18:G22">
    <x:cfRule type="containsText" dxfId="0" priority="1" operator="containsText" text="approved"/>
    <x:cfRule type="containsText" dxfId="1" priority="2" operator="containsText" text="needs"/>
    <x:cfRule type="containsText" dxfId="2" priority="3" operator="containsText" text="provisional"/>
  </x:conditionalFormatting>
  <x:pageMargins left="0.7" right="0.7" top="0.75" bottom="0.75" header="0.3" footer="0.3"/>
  <x:drawing xmlns:r="http://schemas.openxmlformats.org/officeDocument/2006/relationships" r:id="Rae5c3c49b1b84b68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6" hidden="0" customWidth="1"/>
    <x:col min="12" max="12" width="13" hidden="0" customWidth="1"/>
    <x:col min="13" max="13" width="13" hidden="0" customWidth="1"/>
    <x:col min="14" max="14" width="13" hidden="0" customWidth="1"/>
    <x:col min="15" max="15" width="12" hidden="0" customWidth="1"/>
    <x:col min="16" max="16" width="17" hidden="0" customWidth="1"/>
    <x:col min="17" max="17" width="20" hidden="0" customWidth="1"/>
    <x:col min="18" max="18" width="18" hidden="0" customWidth="1"/>
    <x:col min="19" max="19" width="13" hidden="0" customWidth="1"/>
    <x:col min="20" max="20" width="13" hidden="0" customWidth="1"/>
    <x:col min="21" max="21" width="13" hidden="0" customWidth="1"/>
    <x:col min="22" max="22" width="14" hidden="0" customWidth="1"/>
    <x:col min="23" max="23" width="16" hidden="0" customWidth="1"/>
    <x:col min="24" max="24" width="13" hidden="0" customWidth="1"/>
    <x:col min="25" max="25" width="24" hidden="0" customWidth="1"/>
    <x:col min="26" max="26" width="24" hidden="0" customWidth="1"/>
    <x:col min="27" max="27" width="55" hidden="0" customWidth="1"/>
  </x:cols>
  <x:sheetData>
    <x:row r="1" ht="36" customHeight="1">
      <x:c r="A1" s="3" t="str">
        <x:v>周度总表｜官方事实口径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  <x:c r="AA1" s="3"/>
    </x:row>
    <x:row r="2" ht="34" customHeight="1">
      <x:c r="A2" s="7" t="str">
        <x:v>BI总览与质量页的卡片使用公式引用本表；三方、KOC 与编辑热点不进入品牌 KPI。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  <x:c r="T2" s="7"/>
      <x:c r="U2" s="7"/>
      <x:c r="V2" s="7"/>
      <x:c r="W2" s="7"/>
      <x:c r="X2" s="7"/>
      <x:c r="Y2" s="7"/>
      <x:c r="Z2" s="7"/>
      <x:c r="AA2" s="7"/>
    </x:row>
    <x:row r="4" ht="30" customHeight="1">
      <x:c r="A4" s="34" t="str">
        <x:v>周期</x:v>
      </x:c>
      <x:c r="B4" s="34" t="str">
        <x:v>开始日期</x:v>
      </x:c>
      <x:c r="C4" s="34" t="str">
        <x:v>结束日期</x:v>
      </x:c>
      <x:c r="D4" s="34" t="str">
        <x:v>去重事件数</x:v>
      </x:c>
      <x:c r="E4" s="34" t="str">
        <x:v>品牌内容数</x:v>
      </x:c>
      <x:c r="F4" s="34" t="str">
        <x:v>活跃品牌数</x:v>
      </x:c>
      <x:c r="G4" s="34" t="str">
        <x:v>发现信号数</x:v>
      </x:c>
      <x:c r="H4" s="34" t="str">
        <x:v>KOC内容数</x:v>
      </x:c>
      <x:c r="I4" s="34" t="str">
        <x:v>三方内容数</x:v>
      </x:c>
      <x:c r="J4" s="34" t="str">
        <x:v>编辑热点数</x:v>
      </x:c>
      <x:c r="K4" s="34" t="str">
        <x:v>事件复核完成率</x:v>
      </x:c>
      <x:c r="L4" s="34" t="str">
        <x:v>点赞有效N</x:v>
      </x:c>
      <x:c r="M4" s="34" t="str">
        <x:v>点赞缺失数</x:v>
      </x:c>
      <x:c r="N4" s="34" t="str">
        <x:v>点赞中位数</x:v>
      </x:c>
      <x:c r="O4" s="34" t="str">
        <x:v>点赞P75</x:v>
      </x:c>
      <x:c r="P4" s="34" t="str">
        <x:v>点赞均值（辅助）</x:v>
      </x:c>
      <x:c r="Q4" s="34" t="str">
        <x:v>快照时延中位数(小时)</x:v>
      </x:c>
      <x:c r="R4" s="34" t="str">
        <x:v>快照最大时延(小时)</x:v>
      </x:c>
      <x:c r="S4" s="34" t="str">
        <x:v>待复核事件</x:v>
      </x:c>
      <x:c r="T4" s="34" t="str">
        <x:v>待复核内容</x:v>
      </x:c>
      <x:c r="U4" s="34" t="str">
        <x:v>待复核关系</x:v>
      </x:c>
      <x:c r="V4" s="34" t="str">
        <x:v>官方促销证据</x:v>
      </x:c>
      <x:c r="W4" s="34" t="str">
        <x:v>发现层促销线索</x:v>
      </x:c>
      <x:c r="X4" s="34" t="str">
        <x:v>可比周期数</x:v>
      </x:c>
      <x:c r="Y4" s="34" t="str">
        <x:v>环比状态</x:v>
      </x:c>
      <x:c r="Z4" s="34" t="str">
        <x:v>趋势状态</x:v>
      </x:c>
      <x:c r="AA4" s="34" t="str">
        <x:v>解读边界</x:v>
      </x:c>
    </x:row>
    <x:row r="5" ht="56" customHeight="1">
      <x:c r="A5" s="53" t="str">
        <x:v>2026-W30</x:v>
      </x:c>
      <x:c r="B5" s="55" t="n">
        <x:v>46224</x:v>
      </x:c>
      <x:c r="C5" s="55" t="n">
        <x:v>46230</x:v>
      </x:c>
      <x:c r="D5" s="57" t="str">
        <x:v>35</x:v>
      </x:c>
      <x:c r="E5" s="57" t="n">
        <x:v>94</x:v>
      </x:c>
      <x:c r="F5" s="57" t="n">
        <x:v>9</x:v>
      </x:c>
      <x:c r="G5" s="57" t="n">
        <x:v>29</x:v>
      </x:c>
      <x:c r="H5" s="57" t="n">
        <x:v>19</x:v>
      </x:c>
      <x:c r="I5" s="57" t="n">
        <x:v>10</x:v>
      </x:c>
      <x:c r="J5" s="57" t="n">
        <x:v>3</x:v>
      </x:c>
      <x:c r="K5" s="59" t="n">
        <x:v>1</x:v>
      </x:c>
      <x:c r="L5" s="57" t="n">
        <x:v>94</x:v>
      </x:c>
      <x:c r="M5" s="57" t="n">
        <x:v>0</x:v>
      </x:c>
      <x:c r="N5" s="61" t="n">
        <x:v>688</x:v>
      </x:c>
      <x:c r="O5" s="61" t="n">
        <x:v>1335.5</x:v>
      </x:c>
      <x:c r="P5" s="61" t="n">
        <x:v>1718.59</x:v>
      </x:c>
      <x:c r="Q5" s="61" t="n">
        <x:v>77.15</x:v>
      </x:c>
      <x:c r="R5" s="61" t="n">
        <x:v>155.7</x:v>
      </x:c>
      <x:c r="S5" s="57" t="n">
        <x:v>0</x:v>
      </x:c>
      <x:c r="T5" s="57" t="n">
        <x:v>0</x:v>
      </x:c>
      <x:c r="U5" s="57" t="n">
        <x:v>0</x:v>
      </x:c>
      <x:c r="V5" s="57" t="n">
        <x:v>8</x:v>
      </x:c>
      <x:c r="W5" s="57" t="n">
        <x:v>1</x:v>
      </x:c>
      <x:c r="X5" s="57" t="n">
        <x:v>1</x:v>
      </x:c>
      <x:c r="Y5" s="53" t="str">
        <x:v>disabled_insufficient_periods</x:v>
      </x:c>
      <x:c r="Z5" s="53" t="str">
        <x:v>disabled_insufficient_periods</x:v>
      </x:c>
      <x:c r="AA5" s="62" t="str">
        <x:v>仅代表已登记的9个品牌小红书官号与2026-W30窗口；三方、KOC和编辑热点不进入品牌KPI。点赞是不同发布后暴露时长下的抓取快照，不等同销量或转化。</x:v>
      </x:c>
    </x:row>
  </x:sheetData>
  <x:mergeCells>
    <x:mergeCell ref="A1:AA1"/>
    <x:mergeCell ref="A2:AA2"/>
  </x:mergeCells>
  <x:pageMargins left="0.7" right="0.7" top="0.75" bottom="0.75" header="0.3" footer="0.3"/>
  <x:tableParts count="1">
    <x:tablePart xmlns:r="http://schemas.openxmlformats.org/officeDocument/2006/relationships" r:id="R68e7d8ae5ef84a3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1" hidden="0" customWidth="1"/>
    <x:col min="3" max="3" width="11" hidden="0" customWidth="1"/>
    <x:col min="4" max="4" width="12" hidden="0" customWidth="1"/>
    <x:col min="5" max="5" width="13" hidden="0" customWidth="1"/>
    <x:col min="6" max="6" width="13" hidden="0" customWidth="1"/>
    <x:col min="7" max="7" width="12" hidden="0" customWidth="1"/>
    <x:col min="8" max="8" width="18" hidden="0" customWidth="1"/>
    <x:col min="9" max="9" width="12" hidden="0" customWidth="1"/>
    <x:col min="10" max="10" width="12" hidden="0" customWidth="1"/>
    <x:col min="11" max="11" width="34" hidden="0" customWidth="1"/>
    <x:col min="12" max="12" width="18" hidden="0" customWidth="1"/>
    <x:col min="13" max="13" width="26" hidden="0" customWidth="1"/>
    <x:col min="14" max="14" width="17" hidden="0" customWidth="1"/>
    <x:col min="15" max="15" width="34" hidden="0" customWidth="1"/>
  </x:cols>
  <x:sheetData>
    <x:row r="1" ht="36" customHeight="1">
      <x:c r="A1" s="3" t="str">
        <x:v>主题指标｜事件、内容与互动分布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</x:row>
    <x:row r="2" ht="34" customHeight="1">
      <x:c r="A2" s="7" t="str">
        <x:v>事件数是业务动作主口径；主题允许重叠。中位数与 P75 是主指标，均值仅作长尾参考。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</x:row>
    <x:row r="4" ht="30" customHeight="1">
      <x:c r="A4" s="34" t="str">
        <x:v>主题</x:v>
      </x:c>
      <x:c r="B4" s="34" t="str">
        <x:v>事件数</x:v>
      </x:c>
      <x:c r="C4" s="34" t="str">
        <x:v>内容数</x:v>
      </x:c>
      <x:c r="D4" s="34" t="str">
        <x:v>活跃品牌</x:v>
      </x:c>
      <x:c r="E4" s="34" t="str">
        <x:v>点赞有效N</x:v>
      </x:c>
      <x:c r="F4" s="34" t="str">
        <x:v>点赞中位数</x:v>
      </x:c>
      <x:c r="G4" s="34" t="str">
        <x:v>点赞P75</x:v>
      </x:c>
      <x:c r="H4" s="34" t="str">
        <x:v>点赞均值（辅助）</x:v>
      </x:c>
      <x:c r="I4" s="34" t="str">
        <x:v>点赞P90</x:v>
      </x:c>
      <x:c r="J4" s="34" t="str">
        <x:v>最大值</x:v>
      </x:c>
      <x:c r="K4" s="34" t="str">
        <x:v>代表事件</x:v>
      </x:c>
      <x:c r="L4" s="34" t="str">
        <x:v>前三事件内容占比</x:v>
      </x:c>
      <x:c r="M4" s="34" t="str">
        <x:v>样本标识</x:v>
      </x:c>
      <x:c r="N4" s="34" t="str">
        <x:v>审核状态</x:v>
      </x:c>
      <x:c r="O4" s="34" t="str">
        <x:v>指标边界</x:v>
      </x:c>
    </x:row>
    <x:row r="5" ht="34" customHeight="1">
      <x:c r="A5" s="108" t="str">
        <x:v>产品动作</x:v>
      </x:c>
      <x:c r="B5" s="138" t="n">
        <x:v>20</x:v>
      </x:c>
      <x:c r="C5" s="138" t="n">
        <x:v>77</x:v>
      </x:c>
      <x:c r="D5" s="138" t="n">
        <x:v>9</x:v>
      </x:c>
      <x:c r="E5" s="138" t="n">
        <x:v>77</x:v>
      </x:c>
      <x:c r="F5" s="141" t="n">
        <x:v>612</x:v>
      </x:c>
      <x:c r="G5" s="141" t="n">
        <x:v>1207</x:v>
      </x:c>
      <x:c r="H5" s="141" t="n">
        <x:v>1320.19</x:v>
      </x:c>
      <x:c r="I5" s="141" t="n">
        <x:v>3415.8</x:v>
      </x:c>
      <x:c r="J5" s="138" t="n">
        <x:v>11000</x:v>
      </x:c>
      <x:c r="K5" s="42" t="str">
        <x:v>茶百道夏日柑橘系列</x:v>
      </x:c>
      <x:c r="L5" s="147" t="n">
        <x:v>0.44</x:v>
      </x:c>
      <x:c r="M5" s="108" t="str">
        <x:v>sufficient_for_descriptive_stats</x:v>
      </x:c>
      <x:c r="N5" s="108" t="str">
        <x:v>approved</x:v>
      </x:c>
      <x:c r="O5" s="42" t="str">
        <x:v>品牌事实层；主题允许重叠</x:v>
      </x:c>
    </x:row>
    <x:row r="6" ht="34" customHeight="1">
      <x:c r="A6" s="109" t="str">
        <x:v>联名合作</x:v>
      </x:c>
      <x:c r="B6" s="139" t="n">
        <x:v>9</x:v>
      </x:c>
      <x:c r="C6" s="139" t="n">
        <x:v>50</x:v>
      </x:c>
      <x:c r="D6" s="139" t="n">
        <x:v>6</x:v>
      </x:c>
      <x:c r="E6" s="139" t="n">
        <x:v>50</x:v>
      </x:c>
      <x:c r="F6" s="142" t="n">
        <x:v>698</x:v>
      </x:c>
      <x:c r="G6" s="142" t="n">
        <x:v>1223.5</x:v>
      </x:c>
      <x:c r="H6" s="142" t="n">
        <x:v>1199.84</x:v>
      </x:c>
      <x:c r="I6" s="142" t="n">
        <x:v>2869.5</x:v>
      </x:c>
      <x:c r="J6" s="139" t="n">
        <x:v>6568</x:v>
      </x:c>
      <x:c r="K6" s="43" t="str">
        <x:v>库迪咖啡 ×《蜘蛛侠：崭新之日》</x:v>
      </x:c>
      <x:c r="L6" s="148" t="n">
        <x:v>0.68</x:v>
      </x:c>
      <x:c r="M6" s="109" t="str">
        <x:v>sufficient_for_descriptive_stats</x:v>
      </x:c>
      <x:c r="N6" s="109" t="str">
        <x:v>approved</x:v>
      </x:c>
      <x:c r="O6" s="43" t="str">
        <x:v>品牌事实层；主题允许重叠</x:v>
      </x:c>
    </x:row>
    <x:row r="7" ht="34" customHeight="1">
      <x:c r="A7" s="110" t="str">
        <x:v>品牌事件</x:v>
      </x:c>
      <x:c r="B7" s="140" t="n">
        <x:v>15</x:v>
      </x:c>
      <x:c r="C7" s="140" t="n">
        <x:v>17</x:v>
      </x:c>
      <x:c r="D7" s="140" t="n">
        <x:v>7</x:v>
      </x:c>
      <x:c r="E7" s="140" t="n">
        <x:v>17</x:v>
      </x:c>
      <x:c r="F7" s="143" t="n">
        <x:v>1287</x:v>
      </x:c>
      <x:c r="G7" s="143" t="n">
        <x:v>1798</x:v>
      </x:c>
      <x:c r="H7" s="143" t="n">
        <x:v>3523.06</x:v>
      </x:c>
      <x:c r="I7" s="143" t="n">
        <x:v>4259.2</x:v>
      </x:c>
      <x:c r="J7" s="140" t="n">
        <x:v>37000</x:v>
      </x:c>
      <x:c r="K7" s="44" t="str">
        <x:v>瑞幸泰国商标维权进展</x:v>
      </x:c>
      <x:c r="L7" s="149" t="n">
        <x:v>0.29</x:v>
      </x:c>
      <x:c r="M7" s="110" t="str">
        <x:v>sufficient_for_descriptive_stats</x:v>
      </x:c>
      <x:c r="N7" s="110" t="str">
        <x:v>approved</x:v>
      </x:c>
      <x:c r="O7" s="44" t="str">
        <x:v>品牌事实层；主题允许重叠</x:v>
      </x:c>
    </x:row>
  </x:sheetData>
  <x:mergeCells>
    <x:mergeCell ref="A1:O1"/>
    <x:mergeCell ref="A2:O2"/>
  </x:mergeCells>
  <x:conditionalFormatting sqref="N5:N7">
    <x:cfRule type="containsText" dxfId="3" priority="1" operator="containsText" text="approved"/>
    <x:cfRule type="containsText" dxfId="4" priority="2" operator="containsText" text="needs"/>
    <x:cfRule type="containsText" dxfId="5" priority="3" operator="containsText" text="provisional"/>
  </x:conditionalFormatting>
  <x:pageMargins left="0.7" right="0.7" top="0.75" bottom="0.75" header="0.3" footer="0.3"/>
  <x:tableParts count="1">
    <x:tablePart xmlns:r="http://schemas.openxmlformats.org/officeDocument/2006/relationships" r:id="R1c2fa6ef31a74b0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8" hidden="0" customWidth="1"/>
    <x:col min="3" max="3" width="15" hidden="0" customWidth="1"/>
    <x:col min="4" max="4" width="11" hidden="0" customWidth="1"/>
    <x:col min="5" max="5" width="11" hidden="0" customWidth="1"/>
    <x:col min="6" max="6" width="12" hidden="0" customWidth="1"/>
    <x:col min="7" max="7" width="13" hidden="0" customWidth="1"/>
    <x:col min="8" max="8" width="13" hidden="0" customWidth="1"/>
    <x:col min="9" max="9" width="12" hidden="0" customWidth="1"/>
    <x:col min="10" max="10" width="18" hidden="0" customWidth="1"/>
    <x:col min="11" max="11" width="12" hidden="0" customWidth="1"/>
    <x:col min="12" max="12" width="13" hidden="0" customWidth="1"/>
    <x:col min="13" max="13" width="26" hidden="0" customWidth="1"/>
    <x:col min="14" max="14" width="28" hidden="0" customWidth="1"/>
    <x:col min="15" max="15" width="34" hidden="0" customWidth="1"/>
  </x:cols>
  <x:sheetData>
    <x:row r="1" ht="36" customHeight="1">
      <x:c r="A1" s="3" t="str">
        <x:v>标签指标｜细颗度业务标签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</x:row>
    <x:row r="2" ht="34" customHeight="1">
      <x:c r="A2" s="7" t="str">
        <x:v>标签按事件数降序；标签可重叠。标注 provisional 的行仍包含待复核事件，不用于强结论。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</x:row>
    <x:row r="4" ht="30" customHeight="1">
      <x:c r="A4" s="34" t="str">
        <x:v>标签</x:v>
      </x:c>
      <x:c r="B4" s="34" t="str">
        <x:v>标签维度</x:v>
      </x:c>
      <x:c r="C4" s="34" t="str">
        <x:v>所属主题</x:v>
      </x:c>
      <x:c r="D4" s="34" t="str">
        <x:v>事件数</x:v>
      </x:c>
      <x:c r="E4" s="34" t="str">
        <x:v>内容数</x:v>
      </x:c>
      <x:c r="F4" s="34" t="str">
        <x:v>活跃品牌</x:v>
      </x:c>
      <x:c r="G4" s="34" t="str">
        <x:v>点赞有效N</x:v>
      </x:c>
      <x:c r="H4" s="34" t="str">
        <x:v>点赞中位数</x:v>
      </x:c>
      <x:c r="I4" s="34" t="str">
        <x:v>点赞P75</x:v>
      </x:c>
      <x:c r="J4" s="34" t="str">
        <x:v>点赞均值（辅助）</x:v>
      </x:c>
      <x:c r="K4" s="34" t="str">
        <x:v>最大值</x:v>
      </x:c>
      <x:c r="L4" s="34" t="str">
        <x:v>待复核事件</x:v>
      </x:c>
      <x:c r="M4" s="34" t="str">
        <x:v>样本标识</x:v>
      </x:c>
      <x:c r="N4" s="34" t="str">
        <x:v>审核状态</x:v>
      </x:c>
      <x:c r="O4" s="34" t="str">
        <x:v>指标边界</x:v>
      </x:c>
    </x:row>
    <x:row r="5" ht="32" customHeight="1">
      <x:c r="A5" s="108" t="str">
        <x:v>柠檬</x:v>
      </x:c>
      <x:c r="B5" s="108" t="str">
        <x:v>原料/产品元素</x:v>
      </x:c>
      <x:c r="C5" s="108" t="str">
        <x:v>产品动作</x:v>
      </x:c>
      <x:c r="D5" s="138" t="n">
        <x:v>5</x:v>
      </x:c>
      <x:c r="E5" s="138" t="n">
        <x:v>18</x:v>
      </x:c>
      <x:c r="F5" s="138" t="n">
        <x:v>4</x:v>
      </x:c>
      <x:c r="G5" s="138" t="n">
        <x:v>18</x:v>
      </x:c>
      <x:c r="H5" s="141" t="n">
        <x:v>790</x:v>
      </x:c>
      <x:c r="I5" s="141" t="n">
        <x:v>1068.5</x:v>
      </x:c>
      <x:c r="J5" s="141" t="n">
        <x:v>1064.78</x:v>
      </x:c>
      <x:c r="K5" s="138" t="n">
        <x:v>6568</x:v>
      </x:c>
      <x:c r="L5" s="138" t="str">
        <x:v>0</x:v>
      </x:c>
      <x:c r="M5" s="108" t="str">
        <x:v>sufficient_for_descriptive_stats</x:v>
      </x:c>
      <x:c r="N5" s="108" t="str">
        <x:v>approved</x:v>
      </x:c>
      <x:c r="O5" s="42" t="str">
        <x:v>品牌事实层；标签间可重叠</x:v>
      </x:c>
    </x:row>
    <x:row r="6" ht="32" customHeight="1">
      <x:c r="A6" s="109" t="str">
        <x:v>联名产品或套餐</x:v>
      </x:c>
      <x:c r="B6" s="109" t="str">
        <x:v>业务动作</x:v>
      </x:c>
      <x:c r="C6" s="109" t="str">
        <x:v>产品动作</x:v>
      </x:c>
      <x:c r="D6" s="139" t="n">
        <x:v>5</x:v>
      </x:c>
      <x:c r="E6" s="139" t="n">
        <x:v>39</x:v>
      </x:c>
      <x:c r="F6" s="139" t="n">
        <x:v>4</x:v>
      </x:c>
      <x:c r="G6" s="139" t="n">
        <x:v>39</x:v>
      </x:c>
      <x:c r="H6" s="142" t="n">
        <x:v>754</x:v>
      </x:c>
      <x:c r="I6" s="142" t="n">
        <x:v>1218</x:v>
      </x:c>
      <x:c r="J6" s="142" t="n">
        <x:v>1275.97</x:v>
      </x:c>
      <x:c r="K6" s="139" t="n">
        <x:v>6568</x:v>
      </x:c>
      <x:c r="L6" s="139" t="str">
        <x:v>0</x:v>
      </x:c>
      <x:c r="M6" s="109" t="str">
        <x:v>sufficient_for_descriptive_stats</x:v>
      </x:c>
      <x:c r="N6" s="109" t="str">
        <x:v>approved</x:v>
      </x:c>
      <x:c r="O6" s="43" t="str">
        <x:v>品牌事实层；标签间可重叠</x:v>
      </x:c>
    </x:row>
    <x:row r="7" ht="32" customHeight="1">
      <x:c r="A7" s="109" t="str">
        <x:v>联名产品或套餐</x:v>
      </x:c>
      <x:c r="B7" s="109" t="str">
        <x:v>业务动作</x:v>
      </x:c>
      <x:c r="C7" s="109" t="str">
        <x:v>联名合作</x:v>
      </x:c>
      <x:c r="D7" s="139" t="n">
        <x:v>5</x:v>
      </x:c>
      <x:c r="E7" s="139" t="n">
        <x:v>39</x:v>
      </x:c>
      <x:c r="F7" s="139" t="n">
        <x:v>4</x:v>
      </x:c>
      <x:c r="G7" s="139" t="n">
        <x:v>39</x:v>
      </x:c>
      <x:c r="H7" s="142" t="n">
        <x:v>754</x:v>
      </x:c>
      <x:c r="I7" s="142" t="n">
        <x:v>1218</x:v>
      </x:c>
      <x:c r="J7" s="142" t="n">
        <x:v>1275.97</x:v>
      </x:c>
      <x:c r="K7" s="139" t="n">
        <x:v>6568</x:v>
      </x:c>
      <x:c r="L7" s="139" t="str">
        <x:v>0</x:v>
      </x:c>
      <x:c r="M7" s="109" t="str">
        <x:v>sufficient_for_descriptive_stats</x:v>
      </x:c>
      <x:c r="N7" s="109" t="str">
        <x:v>approved</x:v>
      </x:c>
      <x:c r="O7" s="43" t="str">
        <x:v>品牌事实层；标签间可重叠</x:v>
      </x:c>
    </x:row>
    <x:row r="8" ht="32" customHeight="1">
      <x:c r="A8" s="109" t="str">
        <x:v>新品上市</x:v>
      </x:c>
      <x:c r="B8" s="109" t="str">
        <x:v>业务动作</x:v>
      </x:c>
      <x:c r="C8" s="109" t="str">
        <x:v>产品动作</x:v>
      </x:c>
      <x:c r="D8" s="139" t="n">
        <x:v>5</x:v>
      </x:c>
      <x:c r="E8" s="139" t="n">
        <x:v>7</x:v>
      </x:c>
      <x:c r="F8" s="139" t="n">
        <x:v>4</x:v>
      </x:c>
      <x:c r="G8" s="139" t="n">
        <x:v>7</x:v>
      </x:c>
      <x:c r="H8" s="142" t="n">
        <x:v>729</x:v>
      </x:c>
      <x:c r="I8" s="142" t="n">
        <x:v>1631</x:v>
      </x:c>
      <x:c r="J8" s="142" t="n">
        <x:v>1812.43</x:v>
      </x:c>
      <x:c r="K8" s="139" t="n">
        <x:v>7833</x:v>
      </x:c>
      <x:c r="L8" s="139" t="str">
        <x:v>0</x:v>
      </x:c>
      <x:c r="M8" s="109" t="str">
        <x:v>sufficient_for_descriptive_stats</x:v>
      </x:c>
      <x:c r="N8" s="109" t="str">
        <x:v>approved</x:v>
      </x:c>
      <x:c r="O8" s="43" t="str">
        <x:v>品牌事实层；标签间可重叠</x:v>
      </x:c>
    </x:row>
    <x:row r="9" ht="32" customHeight="1">
      <x:c r="A9" s="109" t="str">
        <x:v>新店型</x:v>
      </x:c>
      <x:c r="B9" s="109" t="str">
        <x:v>业务动作</x:v>
      </x:c>
      <x:c r="C9" s="109" t="str">
        <x:v>品牌事件</x:v>
      </x:c>
      <x:c r="D9" s="139" t="n">
        <x:v>3</x:v>
      </x:c>
      <x:c r="E9" s="139" t="n">
        <x:v>3</x:v>
      </x:c>
      <x:c r="F9" s="139" t="n">
        <x:v>2</x:v>
      </x:c>
      <x:c r="G9" s="139" t="n">
        <x:v>3</x:v>
      </x:c>
      <x:c r="H9" s="142" t="n">
        <x:v>1336</x:v>
      </x:c>
      <x:c r="I9" s="142" t="n">
        <x:v>1438</x:v>
      </x:c>
      <x:c r="J9" s="142" t="n">
        <x:v>1096</x:v>
      </x:c>
      <x:c r="K9" s="139" t="n">
        <x:v>1540</x:v>
      </x:c>
      <x:c r="L9" s="139" t="str">
        <x:v>0</x:v>
      </x:c>
      <x:c r="M9" s="109" t="str">
        <x:v>small_sample</x:v>
      </x:c>
      <x:c r="N9" s="109" t="str">
        <x:v>approved</x:v>
      </x:c>
      <x:c r="O9" s="43" t="str">
        <x:v>品牌事实层；标签间可重叠</x:v>
      </x:c>
    </x:row>
    <x:row r="10" ht="32" customHeight="1">
      <x:c r="A10" s="109" t="str">
        <x:v>酸奶</x:v>
      </x:c>
      <x:c r="B10" s="109" t="str">
        <x:v>原料/产品元素</x:v>
      </x:c>
      <x:c r="C10" s="109" t="str">
        <x:v>产品动作</x:v>
      </x:c>
      <x:c r="D10" s="139" t="n">
        <x:v>3</x:v>
      </x:c>
      <x:c r="E10" s="139" t="n">
        <x:v>14</x:v>
      </x:c>
      <x:c r="F10" s="139" t="n">
        <x:v>3</x:v>
      </x:c>
      <x:c r="G10" s="139" t="n">
        <x:v>14</x:v>
      </x:c>
      <x:c r="H10" s="142" t="n">
        <x:v>922</x:v>
      </x:c>
      <x:c r="I10" s="142" t="n">
        <x:v>2348.25</x:v>
      </x:c>
      <x:c r="J10" s="142" t="n">
        <x:v>2204.86</x:v>
      </x:c>
      <x:c r="K10" s="139" t="n">
        <x:v>11000</x:v>
      </x:c>
      <x:c r="L10" s="139" t="str">
        <x:v>0</x:v>
      </x:c>
      <x:c r="M10" s="109" t="str">
        <x:v>sufficient_for_descriptive_stats</x:v>
      </x:c>
      <x:c r="N10" s="109" t="str">
        <x:v>approved</x:v>
      </x:c>
      <x:c r="O10" s="43" t="str">
        <x:v>品牌事实层；标签间可重叠</x:v>
      </x:c>
    </x:row>
    <x:row r="11" ht="32" customHeight="1">
      <x:c r="A11" s="109" t="str">
        <x:v>系列上新</x:v>
      </x:c>
      <x:c r="B11" s="109" t="str">
        <x:v>业务动作</x:v>
      </x:c>
      <x:c r="C11" s="109" t="str">
        <x:v>产品动作</x:v>
      </x:c>
      <x:c r="D11" s="139" t="n">
        <x:v>3</x:v>
      </x:c>
      <x:c r="E11" s="139" t="n">
        <x:v>10</x:v>
      </x:c>
      <x:c r="F11" s="139" t="n">
        <x:v>3</x:v>
      </x:c>
      <x:c r="G11" s="139" t="n">
        <x:v>10</x:v>
      </x:c>
      <x:c r="H11" s="142" t="n">
        <x:v>659</x:v>
      </x:c>
      <x:c r="I11" s="142" t="n">
        <x:v>1003.75</x:v>
      </x:c>
      <x:c r="J11" s="142" t="n">
        <x:v>782.9</x:v>
      </x:c>
      <x:c r="K11" s="139" t="n">
        <x:v>2354</x:v>
      </x:c>
      <x:c r="L11" s="139" t="str">
        <x:v>0</x:v>
      </x:c>
      <x:c r="M11" s="109" t="str">
        <x:v>sufficient_for_descriptive_stats</x:v>
      </x:c>
      <x:c r="N11" s="109" t="str">
        <x:v>approved</x:v>
      </x:c>
      <x:c r="O11" s="43" t="str">
        <x:v>品牌事实层；标签间可重叠</x:v>
      </x:c>
    </x:row>
    <x:row r="12" ht="32" customHeight="1">
      <x:c r="A12" s="109" t="str">
        <x:v>茉莉</x:v>
      </x:c>
      <x:c r="B12" s="109" t="str">
        <x:v>原料/产品元素</x:v>
      </x:c>
      <x:c r="C12" s="109" t="str">
        <x:v>产品动作</x:v>
      </x:c>
      <x:c r="D12" s="139" t="n">
        <x:v>3</x:v>
      </x:c>
      <x:c r="E12" s="139" t="n">
        <x:v>5</x:v>
      </x:c>
      <x:c r="F12" s="139" t="n">
        <x:v>2</x:v>
      </x:c>
      <x:c r="G12" s="139" t="n">
        <x:v>5</x:v>
      </x:c>
      <x:c r="H12" s="142" t="n">
        <x:v>647</x:v>
      </x:c>
      <x:c r="I12" s="142" t="n">
        <x:v>1022</x:v>
      </x:c>
      <x:c r="J12" s="142" t="n">
        <x:v>685.8</x:v>
      </x:c>
      <x:c r="K12" s="139" t="n">
        <x:v>1022</x:v>
      </x:c>
      <x:c r="L12" s="139" t="str">
        <x:v>0</x:v>
      </x:c>
      <x:c r="M12" s="109" t="str">
        <x:v>sufficient_for_descriptive_stats</x:v>
      </x:c>
      <x:c r="N12" s="109" t="str">
        <x:v>approved</x:v>
      </x:c>
      <x:c r="O12" s="43" t="str">
        <x:v>品牌事实层；标签间可重叠</x:v>
      </x:c>
    </x:row>
    <x:row r="13" ht="32" customHeight="1">
      <x:c r="A13" s="109" t="str">
        <x:v>UGC互动</x:v>
      </x:c>
      <x:c r="B13" s="109" t="str">
        <x:v>业务动作</x:v>
      </x:c>
      <x:c r="C13" s="109" t="str">
        <x:v>品牌事件</x:v>
      </x:c>
      <x:c r="D13" s="139" t="n">
        <x:v>3</x:v>
      </x:c>
      <x:c r="E13" s="139" t="n">
        <x:v>3</x:v>
      </x:c>
      <x:c r="F13" s="139" t="n">
        <x:v>2</x:v>
      </x:c>
      <x:c r="G13" s="139" t="n">
        <x:v>3</x:v>
      </x:c>
      <x:c r="H13" s="142" t="n">
        <x:v>499</x:v>
      </x:c>
      <x:c r="I13" s="142" t="n">
        <x:v>713</x:v>
      </x:c>
      <x:c r="J13" s="142" t="n">
        <x:v>520</x:v>
      </x:c>
      <x:c r="K13" s="139" t="n">
        <x:v>927</x:v>
      </x:c>
      <x:c r="L13" s="139" t="str">
        <x:v>0</x:v>
      </x:c>
      <x:c r="M13" s="109" t="str">
        <x:v>small_sample</x:v>
      </x:c>
      <x:c r="N13" s="109" t="str">
        <x:v>approved</x:v>
      </x:c>
      <x:c r="O13" s="43" t="str">
        <x:v>品牌事实层；标签间可重叠</x:v>
      </x:c>
    </x:row>
    <x:row r="14" ht="32" customHeight="1">
      <x:c r="A14" s="109" t="str">
        <x:v>百香果</x:v>
      </x:c>
      <x:c r="B14" s="109" t="str">
        <x:v>原料/产品元素</x:v>
      </x:c>
      <x:c r="C14" s="109" t="str">
        <x:v>产品动作</x:v>
      </x:c>
      <x:c r="D14" s="139" t="n">
        <x:v>3</x:v>
      </x:c>
      <x:c r="E14" s="139" t="n">
        <x:v>10</x:v>
      </x:c>
      <x:c r="F14" s="139" t="n">
        <x:v>3</x:v>
      </x:c>
      <x:c r="G14" s="139" t="n">
        <x:v>10</x:v>
      </x:c>
      <x:c r="H14" s="142" t="n">
        <x:v>471.5</x:v>
      </x:c>
      <x:c r="I14" s="142" t="n">
        <x:v>1025.75</x:v>
      </x:c>
      <x:c r="J14" s="142" t="n">
        <x:v>1122.9</x:v>
      </x:c>
      <x:c r="K14" s="139" t="n">
        <x:v>6568</x:v>
      </x:c>
      <x:c r="L14" s="139" t="str">
        <x:v>0</x:v>
      </x:c>
      <x:c r="M14" s="109" t="str">
        <x:v>sufficient_for_descriptive_stats</x:v>
      </x:c>
      <x:c r="N14" s="109" t="str">
        <x:v>approved</x:v>
      </x:c>
      <x:c r="O14" s="43" t="str">
        <x:v>品牌事实层；标签间可重叠</x:v>
      </x:c>
    </x:row>
    <x:row r="15" ht="32" customHeight="1">
      <x:c r="A15" s="109" t="str">
        <x:v>联名线下活动</x:v>
      </x:c>
      <x:c r="B15" s="109" t="str">
        <x:v>业务动作</x:v>
      </x:c>
      <x:c r="C15" s="109" t="str">
        <x:v>联名合作</x:v>
      </x:c>
      <x:c r="D15" s="139" t="n">
        <x:v>2</x:v>
      </x:c>
      <x:c r="E15" s="139" t="n">
        <x:v>2</x:v>
      </x:c>
      <x:c r="F15" s="139" t="n">
        <x:v>2</x:v>
      </x:c>
      <x:c r="G15" s="139" t="n">
        <x:v>2</x:v>
      </x:c>
      <x:c r="H15" s="142" t="n">
        <x:v>1176</x:v>
      </x:c>
      <x:c r="I15" s="142" t="n">
        <x:v>1231.5</x:v>
      </x:c>
      <x:c r="J15" s="142" t="n">
        <x:v>1176</x:v>
      </x:c>
      <x:c r="K15" s="139" t="n">
        <x:v>1287</x:v>
      </x:c>
      <x:c r="L15" s="139" t="str">
        <x:v>0</x:v>
      </x:c>
      <x:c r="M15" s="109" t="str">
        <x:v>small_sample</x:v>
      </x:c>
      <x:c r="N15" s="109" t="str">
        <x:v>approved</x:v>
      </x:c>
      <x:c r="O15" s="43" t="str">
        <x:v>品牌事实层；标签间可重叠</x:v>
      </x:c>
    </x:row>
    <x:row r="16" ht="32" customHeight="1">
      <x:c r="A16" s="109" t="str">
        <x:v>联名线下活动</x:v>
      </x:c>
      <x:c r="B16" s="109" t="str">
        <x:v>业务动作</x:v>
      </x:c>
      <x:c r="C16" s="109" t="str">
        <x:v>品牌事件</x:v>
      </x:c>
      <x:c r="D16" s="139" t="n">
        <x:v>2</x:v>
      </x:c>
      <x:c r="E16" s="139" t="n">
        <x:v>2</x:v>
      </x:c>
      <x:c r="F16" s="139" t="n">
        <x:v>2</x:v>
      </x:c>
      <x:c r="G16" s="139" t="n">
        <x:v>2</x:v>
      </x:c>
      <x:c r="H16" s="142" t="n">
        <x:v>1176</x:v>
      </x:c>
      <x:c r="I16" s="142" t="n">
        <x:v>1231.5</x:v>
      </x:c>
      <x:c r="J16" s="142" t="n">
        <x:v>1176</x:v>
      </x:c>
      <x:c r="K16" s="139" t="n">
        <x:v>1287</x:v>
      </x:c>
      <x:c r="L16" s="139" t="str">
        <x:v>0</x:v>
      </x:c>
      <x:c r="M16" s="109" t="str">
        <x:v>small_sample</x:v>
      </x:c>
      <x:c r="N16" s="109" t="str">
        <x:v>approved</x:v>
      </x:c>
      <x:c r="O16" s="43" t="str">
        <x:v>品牌事实层；标签间可重叠</x:v>
      </x:c>
    </x:row>
    <x:row r="17" ht="32" customHeight="1">
      <x:c r="A17" s="109" t="str">
        <x:v>菠萝</x:v>
      </x:c>
      <x:c r="B17" s="109" t="str">
        <x:v>原料/产品元素</x:v>
      </x:c>
      <x:c r="C17" s="109" t="str">
        <x:v>产品动作</x:v>
      </x:c>
      <x:c r="D17" s="139" t="n">
        <x:v>2</x:v>
      </x:c>
      <x:c r="E17" s="139" t="n">
        <x:v>25</x:v>
      </x:c>
      <x:c r="F17" s="139" t="n">
        <x:v>2</x:v>
      </x:c>
      <x:c r="G17" s="139" t="n">
        <x:v>25</x:v>
      </x:c>
      <x:c r="H17" s="142" t="n">
        <x:v>545</x:v>
      </x:c>
      <x:c r="I17" s="142" t="n">
        <x:v>1207</x:v>
      </x:c>
      <x:c r="J17" s="142" t="n">
        <x:v>1167.12</x:v>
      </x:c>
      <x:c r="K17" s="139" t="n">
        <x:v>6568</x:v>
      </x:c>
      <x:c r="L17" s="139" t="str">
        <x:v>0</x:v>
      </x:c>
      <x:c r="M17" s="109" t="str">
        <x:v>sufficient_for_descriptive_stats</x:v>
      </x:c>
      <x:c r="N17" s="109" t="str">
        <x:v>approved</x:v>
      </x:c>
      <x:c r="O17" s="43" t="str">
        <x:v>品牌事实层；标签间可重叠</x:v>
      </x:c>
    </x:row>
    <x:row r="18" ht="32" customHeight="1">
      <x:c r="A18" s="109" t="str">
        <x:v>节日营销</x:v>
      </x:c>
      <x:c r="B18" s="109" t="str">
        <x:v>业务动作</x:v>
      </x:c>
      <x:c r="C18" s="109" t="str">
        <x:v>品牌事件</x:v>
      </x:c>
      <x:c r="D18" s="139" t="n">
        <x:v>2</x:v>
      </x:c>
      <x:c r="E18" s="139" t="n">
        <x:v>3</x:v>
      </x:c>
      <x:c r="F18" s="139" t="n">
        <x:v>2</x:v>
      </x:c>
      <x:c r="G18" s="139" t="n">
        <x:v>3</x:v>
      </x:c>
      <x:c r="H18" s="142" t="n">
        <x:v>363</x:v>
      </x:c>
      <x:c r="I18" s="142" t="n">
        <x:v>848.5</x:v>
      </x:c>
      <x:c r="J18" s="142" t="n">
        <x:v>673.33</x:v>
      </x:c>
      <x:c r="K18" s="139" t="n">
        <x:v>1334</x:v>
      </x:c>
      <x:c r="L18" s="139" t="str">
        <x:v>0</x:v>
      </x:c>
      <x:c r="M18" s="109" t="str">
        <x:v>small_sample</x:v>
      </x:c>
      <x:c r="N18" s="109" t="str">
        <x:v>approved</x:v>
      </x:c>
      <x:c r="O18" s="43" t="str">
        <x:v>品牌事实层；标签间可重叠</x:v>
      </x:c>
    </x:row>
    <x:row r="19" ht="32" customHeight="1">
      <x:c r="A19" s="109" t="str">
        <x:v>企业/法律/公共事务</x:v>
      </x:c>
      <x:c r="B19" s="109" t="str">
        <x:v>业务动作</x:v>
      </x:c>
      <x:c r="C19" s="109" t="str">
        <x:v>品牌事件</x:v>
      </x:c>
      <x:c r="D19" s="139" t="n">
        <x:v>1</x:v>
      </x:c>
      <x:c r="E19" s="139" t="n">
        <x:v>1</x:v>
      </x:c>
      <x:c r="F19" s="139" t="n">
        <x:v>1</x:v>
      </x:c>
      <x:c r="G19" s="139" t="n">
        <x:v>1</x:v>
      </x:c>
      <x:c r="H19" s="142" t="n">
        <x:v>37000</x:v>
      </x:c>
      <x:c r="I19" s="142" t="n">
        <x:v>37000</x:v>
      </x:c>
      <x:c r="J19" s="142" t="n">
        <x:v>37000</x:v>
      </x:c>
      <x:c r="K19" s="139" t="n">
        <x:v>37000</x:v>
      </x:c>
      <x:c r="L19" s="139" t="str">
        <x:v>0</x:v>
      </x:c>
      <x:c r="M19" s="109" t="str">
        <x:v>small_sample</x:v>
      </x:c>
      <x:c r="N19" s="109" t="str">
        <x:v>approved</x:v>
      </x:c>
      <x:c r="O19" s="43" t="str">
        <x:v>品牌事实层；标签间可重叠</x:v>
      </x:c>
    </x:row>
    <x:row r="20" ht="32" customHeight="1">
      <x:c r="A20" s="109" t="str">
        <x:v>人物传播</x:v>
      </x:c>
      <x:c r="B20" s="109" t="str">
        <x:v>业务动作</x:v>
      </x:c>
      <x:c r="C20" s="109" t="str">
        <x:v>品牌事件</x:v>
      </x:c>
      <x:c r="D20" s="139" t="n">
        <x:v>1</x:v>
      </x:c>
      <x:c r="E20" s="139" t="n">
        <x:v>1</x:v>
      </x:c>
      <x:c r="F20" s="139" t="n">
        <x:v>1</x:v>
      </x:c>
      <x:c r="G20" s="139" t="n">
        <x:v>1</x:v>
      </x:c>
      <x:c r="H20" s="142" t="n">
        <x:v>5053</x:v>
      </x:c>
      <x:c r="I20" s="142" t="n">
        <x:v>5053</x:v>
      </x:c>
      <x:c r="J20" s="142" t="n">
        <x:v>5053</x:v>
      </x:c>
      <x:c r="K20" s="139" t="n">
        <x:v>5053</x:v>
      </x:c>
      <x:c r="L20" s="139" t="str">
        <x:v>0</x:v>
      </x:c>
      <x:c r="M20" s="109" t="str">
        <x:v>small_sample</x:v>
      </x:c>
      <x:c r="N20" s="109" t="str">
        <x:v>approved</x:v>
      </x:c>
      <x:c r="O20" s="43" t="str">
        <x:v>品牌事实层；标签间可重叠</x:v>
      </x:c>
    </x:row>
    <x:row r="21" ht="32" customHeight="1">
      <x:c r="A21" s="109" t="str">
        <x:v>原料/产区/供应链</x:v>
      </x:c>
      <x:c r="B21" s="109" t="str">
        <x:v>业务动作</x:v>
      </x:c>
      <x:c r="C21" s="109" t="str">
        <x:v>品牌事件</x:v>
      </x:c>
      <x:c r="D21" s="139" t="n">
        <x:v>1</x:v>
      </x:c>
      <x:c r="E21" s="139" t="n">
        <x:v>1</x:v>
      </x:c>
      <x:c r="F21" s="139" t="n">
        <x:v>1</x:v>
      </x:c>
      <x:c r="G21" s="139" t="n">
        <x:v>1</x:v>
      </x:c>
      <x:c r="H21" s="142" t="n">
        <x:v>3730</x:v>
      </x:c>
      <x:c r="I21" s="142" t="n">
        <x:v>3730</x:v>
      </x:c>
      <x:c r="J21" s="142" t="n">
        <x:v>3730</x:v>
      </x:c>
      <x:c r="K21" s="139" t="n">
        <x:v>3730</x:v>
      </x:c>
      <x:c r="L21" s="139" t="str">
        <x:v>0</x:v>
      </x:c>
      <x:c r="M21" s="109" t="str">
        <x:v>small_sample</x:v>
      </x:c>
      <x:c r="N21" s="109" t="str">
        <x:v>approved</x:v>
      </x:c>
      <x:c r="O21" s="43" t="str">
        <x:v>品牌事实层；标签间可重叠</x:v>
      </x:c>
    </x:row>
    <x:row r="22" ht="32" customHeight="1">
      <x:c r="A22" s="109" t="str">
        <x:v>多邻国</x:v>
      </x:c>
      <x:c r="B22" s="109" t="str">
        <x:v>联名领域/IP</x:v>
      </x:c>
      <x:c r="C22" s="109" t="str">
        <x:v>联名合作</x:v>
      </x:c>
      <x:c r="D22" s="139" t="n">
        <x:v>1</x:v>
      </x:c>
      <x:c r="E22" s="139" t="n">
        <x:v>2</x:v>
      </x:c>
      <x:c r="F22" s="139" t="n">
        <x:v>1</x:v>
      </x:c>
      <x:c r="G22" s="139" t="n">
        <x:v>2</x:v>
      </x:c>
      <x:c r="H22" s="142" t="n">
        <x:v>2316</x:v>
      </x:c>
      <x:c r="I22" s="142" t="n">
        <x:v>2575</x:v>
      </x:c>
      <x:c r="J22" s="142" t="n">
        <x:v>2316</x:v>
      </x:c>
      <x:c r="K22" s="139" t="n">
        <x:v>2834</x:v>
      </x:c>
      <x:c r="L22" s="139" t="str">
        <x:v>0</x:v>
      </x:c>
      <x:c r="M22" s="109" t="str">
        <x:v>small_sample</x:v>
      </x:c>
      <x:c r="N22" s="109" t="str">
        <x:v>approved</x:v>
      </x:c>
      <x:c r="O22" s="43" t="str">
        <x:v>品牌事实层；标签间可重叠</x:v>
      </x:c>
    </x:row>
    <x:row r="23" ht="32" customHeight="1">
      <x:c r="A23" s="109" t="str">
        <x:v>米菲</x:v>
      </x:c>
      <x:c r="B23" s="109" t="str">
        <x:v>联名领域/IP</x:v>
      </x:c>
      <x:c r="C23" s="109" t="str">
        <x:v>联名合作</x:v>
      </x:c>
      <x:c r="D23" s="139" t="n">
        <x:v>1</x:v>
      </x:c>
      <x:c r="E23" s="139" t="n">
        <x:v>2</x:v>
      </x:c>
      <x:c r="F23" s="139" t="n">
        <x:v>1</x:v>
      </x:c>
      <x:c r="G23" s="139" t="n">
        <x:v>2</x:v>
      </x:c>
      <x:c r="H23" s="142" t="n">
        <x:v>1075.5</x:v>
      </x:c>
      <x:c r="I23" s="142" t="n">
        <x:v>1377.75</x:v>
      </x:c>
      <x:c r="J23" s="142" t="n">
        <x:v>1075.5</x:v>
      </x:c>
      <x:c r="K23" s="139" t="n">
        <x:v>1680</x:v>
      </x:c>
      <x:c r="L23" s="139" t="str">
        <x:v>0</x:v>
      </x:c>
      <x:c r="M23" s="109" t="str">
        <x:v>small_sample</x:v>
      </x:c>
      <x:c r="N23" s="109" t="str">
        <x:v>approved</x:v>
      </x:c>
      <x:c r="O23" s="43" t="str">
        <x:v>品牌事实层；标签间可重叠</x:v>
      </x:c>
    </x:row>
    <x:row r="24" ht="32" customHeight="1">
      <x:c r="A24" s="109" t="str">
        <x:v>三丽鸥</x:v>
      </x:c>
      <x:c r="B24" s="109" t="str">
        <x:v>联名领域/IP</x:v>
      </x:c>
      <x:c r="C24" s="109" t="str">
        <x:v>联名合作</x:v>
      </x:c>
      <x:c r="D24" s="139" t="n">
        <x:v>1</x:v>
      </x:c>
      <x:c r="E24" s="139" t="n">
        <x:v>1</x:v>
      </x:c>
      <x:c r="F24" s="139" t="n">
        <x:v>1</x:v>
      </x:c>
      <x:c r="G24" s="139" t="n">
        <x:v>1</x:v>
      </x:c>
      <x:c r="H24" s="142" t="n">
        <x:v>1065</x:v>
      </x:c>
      <x:c r="I24" s="142" t="n">
        <x:v>1065</x:v>
      </x:c>
      <x:c r="J24" s="142" t="n">
        <x:v>1065</x:v>
      </x:c>
      <x:c r="K24" s="139" t="n">
        <x:v>1065</x:v>
      </x:c>
      <x:c r="L24" s="139" t="str">
        <x:v>0</x:v>
      </x:c>
      <x:c r="M24" s="109" t="str">
        <x:v>small_sample</x:v>
      </x:c>
      <x:c r="N24" s="109" t="str">
        <x:v>approved</x:v>
      </x:c>
      <x:c r="O24" s="43" t="str">
        <x:v>品牌事实层；标签间可重叠</x:v>
      </x:c>
    </x:row>
    <x:row r="25" ht="32" customHeight="1">
      <x:c r="A25" s="109" t="str">
        <x:v>王者荣耀</x:v>
      </x:c>
      <x:c r="B25" s="109" t="str">
        <x:v>联名领域/IP</x:v>
      </x:c>
      <x:c r="C25" s="109" t="str">
        <x:v>联名合作</x:v>
      </x:c>
      <x:c r="D25" s="139" t="n">
        <x:v>1</x:v>
      </x:c>
      <x:c r="E25" s="139" t="n">
        <x:v>9</x:v>
      </x:c>
      <x:c r="F25" s="139" t="n">
        <x:v>1</x:v>
      </x:c>
      <x:c r="G25" s="139" t="n">
        <x:v>9</x:v>
      </x:c>
      <x:c r="H25" s="142" t="n">
        <x:v>1001</x:v>
      </x:c>
      <x:c r="I25" s="142" t="n">
        <x:v>1367</x:v>
      </x:c>
      <x:c r="J25" s="142" t="n">
        <x:v>1780.67</x:v>
      </x:c>
      <x:c r="K25" s="139" t="n">
        <x:v>5722</x:v>
      </x:c>
      <x:c r="L25" s="139" t="str">
        <x:v>0</x:v>
      </x:c>
      <x:c r="M25" s="109" t="str">
        <x:v>sufficient_for_descriptive_stats</x:v>
      </x:c>
      <x:c r="N25" s="109" t="str">
        <x:v>approved</x:v>
      </x:c>
      <x:c r="O25" s="43" t="str">
        <x:v>品牌事实层；标签间可重叠</x:v>
      </x:c>
    </x:row>
    <x:row r="26" ht="32" customHeight="1">
      <x:c r="A26" s="109" t="str">
        <x:v>Crocs</x:v>
      </x:c>
      <x:c r="B26" s="109" t="str">
        <x:v>联名领域/IP</x:v>
      </x:c>
      <x:c r="C26" s="109" t="str">
        <x:v>联名合作</x:v>
      </x:c>
      <x:c r="D26" s="139" t="n">
        <x:v>1</x:v>
      </x:c>
      <x:c r="E26" s="139" t="n">
        <x:v>7</x:v>
      </x:c>
      <x:c r="F26" s="139" t="n">
        <x:v>1</x:v>
      </x:c>
      <x:c r="G26" s="139" t="n">
        <x:v>7</x:v>
      </x:c>
      <x:c r="H26" s="142" t="n">
        <x:v>851</x:v>
      </x:c>
      <x:c r="I26" s="142" t="n">
        <x:v>1137.5</x:v>
      </x:c>
      <x:c r="J26" s="142" t="n">
        <x:v>1515.43</x:v>
      </x:c>
      <x:c r="K26" s="139" t="n">
        <x:v>6568</x:v>
      </x:c>
      <x:c r="L26" s="139" t="str">
        <x:v>0</x:v>
      </x:c>
      <x:c r="M26" s="109" t="str">
        <x:v>sufficient_for_descriptive_stats</x:v>
      </x:c>
      <x:c r="N26" s="109" t="str">
        <x:v>approved</x:v>
      </x:c>
      <x:c r="O26" s="43" t="str">
        <x:v>品牌事实层；标签间可重叠</x:v>
      </x:c>
    </x:row>
    <x:row r="27" ht="32" customHeight="1">
      <x:c r="A27" s="109" t="str">
        <x:v>蜘蛛侠</x:v>
      </x:c>
      <x:c r="B27" s="109" t="str">
        <x:v>联名领域/IP</x:v>
      </x:c>
      <x:c r="C27" s="109" t="str">
        <x:v>联名合作</x:v>
      </x:c>
      <x:c r="D27" s="139" t="n">
        <x:v>1</x:v>
      </x:c>
      <x:c r="E27" s="139" t="n">
        <x:v>18</x:v>
      </x:c>
      <x:c r="F27" s="139" t="n">
        <x:v>1</x:v>
      </x:c>
      <x:c r="G27" s="139" t="n">
        <x:v>18</x:v>
      </x:c>
      <x:c r="H27" s="142" t="n">
        <x:v>478.5</x:v>
      </x:c>
      <x:c r="I27" s="142" t="n">
        <x:v>1223.5</x:v>
      </x:c>
      <x:c r="J27" s="142" t="n">
        <x:v>1031.67</x:v>
      </x:c>
      <x:c r="K27" s="139" t="n">
        <x:v>4144</x:v>
      </x:c>
      <x:c r="L27" s="139" t="str">
        <x:v>0</x:v>
      </x:c>
      <x:c r="M27" s="109" t="str">
        <x:v>sufficient_for_descriptive_stats</x:v>
      </x:c>
      <x:c r="N27" s="109" t="str">
        <x:v>approved</x:v>
      </x:c>
      <x:c r="O27" s="43" t="str">
        <x:v>品牌事实层；标签间可重叠</x:v>
      </x:c>
    </x:row>
    <x:row r="28" ht="32" customHeight="1">
      <x:c r="A28" s="109" t="str">
        <x:v>常规产品传播</x:v>
      </x:c>
      <x:c r="B28" s="109" t="str">
        <x:v>业务动作</x:v>
      </x:c>
      <x:c r="C28" s="109" t="str">
        <x:v>产品动作</x:v>
      </x:c>
      <x:c r="D28" s="139" t="n">
        <x:v>1</x:v>
      </x:c>
      <x:c r="E28" s="139" t="n">
        <x:v>1</x:v>
      </x:c>
      <x:c r="F28" s="139" t="n">
        <x:v>1</x:v>
      </x:c>
      <x:c r="G28" s="139" t="n">
        <x:v>1</x:v>
      </x:c>
      <x:c r="H28" s="142" t="n">
        <x:v>321</x:v>
      </x:c>
      <x:c r="I28" s="142" t="n">
        <x:v>321</x:v>
      </x:c>
      <x:c r="J28" s="142" t="n">
        <x:v>321</x:v>
      </x:c>
      <x:c r="K28" s="139" t="n">
        <x:v>321</x:v>
      </x:c>
      <x:c r="L28" s="139" t="str">
        <x:v>0</x:v>
      </x:c>
      <x:c r="M28" s="109" t="str">
        <x:v>small_sample</x:v>
      </x:c>
      <x:c r="N28" s="109" t="str">
        <x:v>approved</x:v>
      </x:c>
      <x:c r="O28" s="43" t="str">
        <x:v>品牌事实层；标签间可重叠</x:v>
      </x:c>
    </x:row>
    <x:row r="29" ht="32" customHeight="1">
      <x:c r="A29" s="110" t="str">
        <x:v>门店渠道</x:v>
      </x:c>
      <x:c r="B29" s="110" t="str">
        <x:v>业务动作</x:v>
      </x:c>
      <x:c r="C29" s="110" t="str">
        <x:v>品牌事件</x:v>
      </x:c>
      <x:c r="D29" s="140" t="n">
        <x:v>1</x:v>
      </x:c>
      <x:c r="E29" s="140" t="n">
        <x:v>1</x:v>
      </x:c>
      <x:c r="F29" s="140" t="n">
        <x:v>1</x:v>
      </x:c>
      <x:c r="G29" s="140" t="n">
        <x:v>1</x:v>
      </x:c>
      <x:c r="H29" s="143" t="n">
        <x:v>257</x:v>
      </x:c>
      <x:c r="I29" s="143" t="n">
        <x:v>257</x:v>
      </x:c>
      <x:c r="J29" s="143" t="n">
        <x:v>257</x:v>
      </x:c>
      <x:c r="K29" s="140" t="n">
        <x:v>257</x:v>
      </x:c>
      <x:c r="L29" s="140" t="str">
        <x:v>0</x:v>
      </x:c>
      <x:c r="M29" s="110" t="str">
        <x:v>small_sample</x:v>
      </x:c>
      <x:c r="N29" s="110" t="str">
        <x:v>approved</x:v>
      </x:c>
      <x:c r="O29" s="44" t="str">
        <x:v>品牌事实层；标签间可重叠</x:v>
      </x:c>
    </x:row>
  </x:sheetData>
  <x:mergeCells>
    <x:mergeCell ref="A1:O1"/>
    <x:mergeCell ref="A2:O2"/>
  </x:mergeCells>
  <x:conditionalFormatting sqref="N5:N29">
    <x:cfRule type="containsText" dxfId="6" priority="1" operator="containsText" text="approved"/>
    <x:cfRule type="containsText" dxfId="7" priority="2" operator="containsText" text="needs"/>
    <x:cfRule type="containsText" dxfId="8" priority="3" operator="containsText" text="provisional"/>
  </x:conditionalFormatting>
  <x:pageMargins left="0.7" right="0.7" top="0.75" bottom="0.75" header="0.3" footer="0.3"/>
  <x:tableParts count="1">
    <x:tablePart xmlns:r="http://schemas.openxmlformats.org/officeDocument/2006/relationships" r:id="R96286f4f38754146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2" hidden="0" customWidth="1"/>
    <x:col min="3" max="3" width="20" hidden="0" customWidth="1"/>
    <x:col min="4" max="4" width="11" hidden="0" customWidth="1"/>
    <x:col min="5" max="5" width="11" hidden="0" customWidth="1"/>
    <x:col min="6" max="6" width="12" hidden="0" customWidth="1"/>
    <x:col min="7" max="7" width="13" hidden="0" customWidth="1"/>
    <x:col min="8" max="8" width="13" hidden="0" customWidth="1"/>
    <x:col min="9" max="9" width="12" hidden="0" customWidth="1"/>
    <x:col min="10" max="10" width="18" hidden="0" customWidth="1"/>
    <x:col min="11" max="11" width="12" hidden="0" customWidth="1"/>
    <x:col min="12" max="12" width="26" hidden="0" customWidth="1"/>
    <x:col min="13" max="13" width="30" hidden="0" customWidth="1"/>
  </x:cols>
  <x:sheetData>
    <x:row r="1" ht="36" customHeight="1">
      <x:c r="A1" s="3" t="str">
        <x:v>品类分析｜一级与二级分类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</x:row>
    <x:row r="2" ht="34" customHeight="1">
      <x:c r="A2" s="7" t="str">
        <x:v>先看一级结构，再下钻二级品类。N&lt;5 标记为小样本，不进入强弱排名。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</x:row>
    <x:row r="4" ht="30" customHeight="1">
      <x:c r="A4" s="34" t="str">
        <x:v>层级</x:v>
      </x:c>
      <x:c r="B4" s="34" t="str">
        <x:v>品类</x:v>
      </x:c>
      <x:c r="C4" s="34" t="str">
        <x:v>上级品类</x:v>
      </x:c>
      <x:c r="D4" s="34" t="str">
        <x:v>事件数</x:v>
      </x:c>
      <x:c r="E4" s="34" t="str">
        <x:v>内容数</x:v>
      </x:c>
      <x:c r="F4" s="34" t="str">
        <x:v>活跃品牌</x:v>
      </x:c>
      <x:c r="G4" s="34" t="str">
        <x:v>点赞有效N</x:v>
      </x:c>
      <x:c r="H4" s="34" t="str">
        <x:v>点赞中位数</x:v>
      </x:c>
      <x:c r="I4" s="34" t="str">
        <x:v>点赞P75</x:v>
      </x:c>
      <x:c r="J4" s="34" t="str">
        <x:v>点赞均值（辅助）</x:v>
      </x:c>
      <x:c r="K4" s="34" t="str">
        <x:v>最大值</x:v>
      </x:c>
      <x:c r="L4" s="34" t="str">
        <x:v>样本标识</x:v>
      </x:c>
      <x:c r="M4" s="34" t="str">
        <x:v>代表内容ID</x:v>
      </x:c>
    </x:row>
    <x:row r="5" ht="24" customHeight="1">
      <x:c r="A5" s="138" t="n">
        <x:v>1</x:v>
      </x:c>
      <x:c r="B5" s="108" t="str">
        <x:v>茶饮</x:v>
      </x:c>
      <x:c r="C5" s="108"/>
      <x:c r="D5" s="138" t="n">
        <x:v>17</x:v>
      </x:c>
      <x:c r="E5" s="138" t="n">
        <x:v>46</x:v>
      </x:c>
      <x:c r="F5" s="138" t="n">
        <x:v>7</x:v>
      </x:c>
      <x:c r="G5" s="138" t="n">
        <x:v>46</x:v>
      </x:c>
      <x:c r="H5" s="141" t="n">
        <x:v>688</x:v>
      </x:c>
      <x:c r="I5" s="141" t="n">
        <x:v>1353</x:v>
      </x:c>
      <x:c r="J5" s="141" t="n">
        <x:v>1586.59</x:v>
      </x:c>
      <x:c r="K5" s="138" t="n">
        <x:v>11000</x:v>
      </x:c>
      <x:c r="L5" s="108" t="str">
        <x:v>sufficient_for_descriptive_stats</x:v>
      </x:c>
      <x:c r="M5" s="108" t="str">
        <x:v>xhs-6a61909f0000000001002bb5</x:v>
      </x:c>
    </x:row>
    <x:row r="6" ht="24" customHeight="1">
      <x:c r="A6" s="139" t="n">
        <x:v>1</x:v>
      </x:c>
      <x:c r="B6" s="109" t="str">
        <x:v>咖啡</x:v>
      </x:c>
      <x:c r="C6" s="109"/>
      <x:c r="D6" s="139" t="n">
        <x:v>12</x:v>
      </x:c>
      <x:c r="E6" s="139" t="n">
        <x:v>41</x:v>
      </x:c>
      <x:c r="F6" s="139" t="n">
        <x:v>4</x:v>
      </x:c>
      <x:c r="G6" s="139" t="n">
        <x:v>41</x:v>
      </x:c>
      <x:c r="H6" s="142" t="n">
        <x:v>612</x:v>
      </x:c>
      <x:c r="I6" s="142" t="n">
        <x:v>1229</x:v>
      </x:c>
      <x:c r="J6" s="142" t="n">
        <x:v>1117.51</x:v>
      </x:c>
      <x:c r="K6" s="139" t="n">
        <x:v>6568</x:v>
      </x:c>
      <x:c r="L6" s="109" t="str">
        <x:v>sufficient_for_descriptive_stats</x:v>
      </x:c>
      <x:c r="M6" s="109" t="str">
        <x:v>xhs-6a6634d1000000001c011cfd</x:v>
      </x:c>
    </x:row>
    <x:row r="7" ht="24" customHeight="1">
      <x:c r="A7" s="139" t="n">
        <x:v>1</x:v>
      </x:c>
      <x:c r="B7" s="109" t="str">
        <x:v>周边包材</x:v>
      </x:c>
      <x:c r="C7" s="109"/>
      <x:c r="D7" s="139" t="n">
        <x:v>9</x:v>
      </x:c>
      <x:c r="E7" s="139" t="n">
        <x:v>54</x:v>
      </x:c>
      <x:c r="F7" s="139" t="n">
        <x:v>7</x:v>
      </x:c>
      <x:c r="G7" s="139" t="n">
        <x:v>54</x:v>
      </x:c>
      <x:c r="H7" s="142" t="n">
        <x:v>627</x:v>
      </x:c>
      <x:c r="I7" s="142" t="n">
        <x:v>1182</x:v>
      </x:c>
      <x:c r="J7" s="142" t="n">
        <x:v>1122.43</x:v>
      </x:c>
      <x:c r="K7" s="139" t="n">
        <x:v>6568</x:v>
      </x:c>
      <x:c r="L7" s="109" t="str">
        <x:v>sufficient_for_descriptive_stats</x:v>
      </x:c>
      <x:c r="M7" s="109" t="str">
        <x:v>xhs-6a6634d1000000001c011cfd</x:v>
      </x:c>
    </x:row>
    <x:row r="8" ht="24" customHeight="1">
      <x:c r="A8" s="139" t="n">
        <x:v>1</x:v>
      </x:c>
      <x:c r="B8" s="109" t="str">
        <x:v>冰品甜品</x:v>
      </x:c>
      <x:c r="C8" s="109"/>
      <x:c r="D8" s="139" t="n">
        <x:v>5</x:v>
      </x:c>
      <x:c r="E8" s="139" t="n">
        <x:v>12</x:v>
      </x:c>
      <x:c r="F8" s="139" t="n">
        <x:v>3</x:v>
      </x:c>
      <x:c r="G8" s="139" t="n">
        <x:v>12</x:v>
      </x:c>
      <x:c r="H8" s="142" t="n">
        <x:v>417.5</x:v>
      </x:c>
      <x:c r="I8" s="142" t="n">
        <x:v>1066.75</x:v>
      </x:c>
      <x:c r="J8" s="142" t="n">
        <x:v>718.58</x:v>
      </x:c>
      <x:c r="K8" s="139" t="n">
        <x:v>2354</x:v>
      </x:c>
      <x:c r="L8" s="109" t="str">
        <x:v>sufficient_for_descriptive_stats</x:v>
      </x:c>
      <x:c r="M8" s="109" t="str">
        <x:v>xhs-6a62d580000000000100181a</x:v>
      </x:c>
    </x:row>
    <x:row r="9" ht="24" customHeight="1">
      <x:c r="A9" s="139" t="n">
        <x:v>1</x:v>
      </x:c>
      <x:c r="B9" s="109" t="str">
        <x:v>非产品内容</x:v>
      </x:c>
      <x:c r="C9" s="109"/>
      <x:c r="D9" s="139" t="n">
        <x:v>3</x:v>
      </x:c>
      <x:c r="E9" s="139" t="n">
        <x:v>3</x:v>
      </x:c>
      <x:c r="F9" s="139" t="n">
        <x:v>3</x:v>
      </x:c>
      <x:c r="G9" s="139" t="n">
        <x:v>3</x:v>
      </x:c>
      <x:c r="H9" s="142" t="n">
        <x:v>1336</x:v>
      </x:c>
      <x:c r="I9" s="142" t="n">
        <x:v>19168</x:v>
      </x:c>
      <x:c r="J9" s="142" t="n">
        <x:v>13207.67</x:v>
      </x:c>
      <x:c r="K9" s="139" t="n">
        <x:v>37000</x:v>
      </x:c>
      <x:c r="L9" s="109" t="str">
        <x:v>small_sample</x:v>
      </x:c>
      <x:c r="M9" s="109" t="str">
        <x:v>xhs-6a66d7e7000000001101fb64</x:v>
      </x:c>
    </x:row>
    <x:row r="10" ht="24" customHeight="1">
      <x:c r="A10" s="139" t="n">
        <x:v>1</x:v>
      </x:c>
      <x:c r="B10" s="109" t="str">
        <x:v>其他饮品</x:v>
      </x:c>
      <x:c r="C10" s="109"/>
      <x:c r="D10" s="139" t="n">
        <x:v>3</x:v>
      </x:c>
      <x:c r="E10" s="139" t="n">
        <x:v>11</x:v>
      </x:c>
      <x:c r="F10" s="139" t="n">
        <x:v>3</x:v>
      </x:c>
      <x:c r="G10" s="139" t="n">
        <x:v>11</x:v>
      </x:c>
      <x:c r="H10" s="142" t="n">
        <x:v>265</x:v>
      </x:c>
      <x:c r="I10" s="142" t="n">
        <x:v>922</x:v>
      </x:c>
      <x:c r="J10" s="142" t="n">
        <x:v>614.55</x:v>
      </x:c>
      <x:c r="K10" s="139" t="n">
        <x:v>2354</x:v>
      </x:c>
      <x:c r="L10" s="109" t="str">
        <x:v>sufficient_for_descriptive_stats</x:v>
      </x:c>
      <x:c r="M10" s="109" t="str">
        <x:v>xhs-6a62d580000000000100181a</x:v>
      </x:c>
    </x:row>
    <x:row r="11" ht="24" customHeight="1">
      <x:c r="A11" s="139" t="n">
        <x:v>2</x:v>
      </x:c>
      <x:c r="B11" s="109" t="str">
        <x:v>果茶／果饮</x:v>
      </x:c>
      <x:c r="C11" s="109" t="str">
        <x:v>茶饮</x:v>
      </x:c>
      <x:c r="D11" s="139" t="n">
        <x:v>12</x:v>
      </x:c>
      <x:c r="E11" s="139" t="n">
        <x:v>26</x:v>
      </x:c>
      <x:c r="F11" s="139" t="n">
        <x:v>4</x:v>
      </x:c>
      <x:c r="G11" s="139" t="n">
        <x:v>26</x:v>
      </x:c>
      <x:c r="H11" s="142" t="n">
        <x:v>911</x:v>
      </x:c>
      <x:c r="I11" s="142" t="n">
        <x:v>2236</x:v>
      </x:c>
      <x:c r="J11" s="142" t="n">
        <x:v>1978.96</x:v>
      </x:c>
      <x:c r="K11" s="139" t="n">
        <x:v>11000</x:v>
      </x:c>
      <x:c r="L11" s="109" t="str">
        <x:v>sufficient_for_descriptive_stats</x:v>
      </x:c>
      <x:c r="M11" s="109" t="str">
        <x:v>xhs-6a61909f0000000001002bb5</x:v>
      </x:c>
    </x:row>
    <x:row r="12" ht="24" customHeight="1">
      <x:c r="A12" s="139" t="n">
        <x:v>2</x:v>
      </x:c>
      <x:c r="B12" s="109" t="str">
        <x:v>风味特调咖啡</x:v>
      </x:c>
      <x:c r="C12" s="109" t="str">
        <x:v>咖啡</x:v>
      </x:c>
      <x:c r="D12" s="139" t="n">
        <x:v>9</x:v>
      </x:c>
      <x:c r="E12" s="139" t="n">
        <x:v>36</x:v>
      </x:c>
      <x:c r="F12" s="139" t="n">
        <x:v>3</x:v>
      </x:c>
      <x:c r="G12" s="139" t="n">
        <x:v>36</x:v>
      </x:c>
      <x:c r="H12" s="142" t="n">
        <x:v>698</x:v>
      </x:c>
      <x:c r="I12" s="142" t="n">
        <x:v>1255.25</x:v>
      </x:c>
      <x:c r="J12" s="142" t="n">
        <x:v>1202.03</x:v>
      </x:c>
      <x:c r="K12" s="139" t="n">
        <x:v>6568</x:v>
      </x:c>
      <x:c r="L12" s="109" t="str">
        <x:v>sufficient_for_descriptive_stats</x:v>
      </x:c>
      <x:c r="M12" s="109" t="str">
        <x:v>xhs-6a6634d1000000001c011cfd</x:v>
      </x:c>
    </x:row>
    <x:row r="13" ht="24" customHeight="1">
      <x:c r="A13" s="139" t="n">
        <x:v>2</x:v>
      </x:c>
      <x:c r="B13" s="109" t="str">
        <x:v>其他周边</x:v>
      </x:c>
      <x:c r="C13" s="109" t="str">
        <x:v>周边包材</x:v>
      </x:c>
      <x:c r="D13" s="139" t="n">
        <x:v>8</x:v>
      </x:c>
      <x:c r="E13" s="139" t="n">
        <x:v>53</x:v>
      </x:c>
      <x:c r="F13" s="139" t="n">
        <x:v>7</x:v>
      </x:c>
      <x:c r="G13" s="139" t="n">
        <x:v>53</x:v>
      </x:c>
      <x:c r="H13" s="142" t="n">
        <x:v>642</x:v>
      </x:c>
      <x:c r="I13" s="142" t="n">
        <x:v>1191</x:v>
      </x:c>
      <x:c r="J13" s="142" t="n">
        <x:v>1139.23</x:v>
      </x:c>
      <x:c r="K13" s="139" t="n">
        <x:v>6568</x:v>
      </x:c>
      <x:c r="L13" s="109" t="str">
        <x:v>sufficient_for_descriptive_stats</x:v>
      </x:c>
      <x:c r="M13" s="109" t="str">
        <x:v>xhs-6a6634d1000000001c011cfd</x:v>
      </x:c>
    </x:row>
    <x:row r="14" ht="24" customHeight="1">
      <x:c r="A14" s="139" t="n">
        <x:v>2</x:v>
      </x:c>
      <x:c r="B14" s="109" t="str">
        <x:v>茶基底特调</x:v>
      </x:c>
      <x:c r="C14" s="109" t="str">
        <x:v>茶饮</x:v>
      </x:c>
      <x:c r="D14" s="139" t="n">
        <x:v>5</x:v>
      </x:c>
      <x:c r="E14" s="139" t="n">
        <x:v>17</x:v>
      </x:c>
      <x:c r="F14" s="139" t="n">
        <x:v>5</x:v>
      </x:c>
      <x:c r="G14" s="139" t="n">
        <x:v>17</x:v>
      </x:c>
      <x:c r="H14" s="142" t="n">
        <x:v>518</x:v>
      </x:c>
      <x:c r="I14" s="142" t="n">
        <x:v>1155</x:v>
      </x:c>
      <x:c r="J14" s="142" t="n">
        <x:v>1736.29</x:v>
      </x:c>
      <x:c r="K14" s="139" t="n">
        <x:v>11000</x:v>
      </x:c>
      <x:c r="L14" s="109" t="str">
        <x:v>sufficient_for_descriptive_stats</x:v>
      </x:c>
      <x:c r="M14" s="109" t="str">
        <x:v>xhs-6a61909f0000000001002bb5</x:v>
      </x:c>
    </x:row>
    <x:row r="15" ht="24" customHeight="1">
      <x:c r="A15" s="139" t="n">
        <x:v>2</x:v>
      </x:c>
      <x:c r="B15" s="109" t="str">
        <x:v>美式／黑咖</x:v>
      </x:c>
      <x:c r="C15" s="109" t="str">
        <x:v>咖啡</x:v>
      </x:c>
      <x:c r="D15" s="139" t="n">
        <x:v>4</x:v>
      </x:c>
      <x:c r="E15" s="139" t="n">
        <x:v>7</x:v>
      </x:c>
      <x:c r="F15" s="139" t="n">
        <x:v>3</x:v>
      </x:c>
      <x:c r="G15" s="139" t="n">
        <x:v>7</x:v>
      </x:c>
      <x:c r="H15" s="142" t="n">
        <x:v>363</x:v>
      </x:c>
      <x:c r="I15" s="142" t="n">
        <x:v>1566</x:v>
      </x:c>
      <x:c r="J15" s="142" t="n">
        <x:v>981.86</x:v>
      </x:c>
      <x:c r="K15" s="139" t="n">
        <x:v>2834</x:v>
      </x:c>
      <x:c r="L15" s="109" t="str">
        <x:v>sufficient_for_descriptive_stats</x:v>
      </x:c>
      <x:c r="M15" s="109" t="str">
        <x:v>xhs-6a632195000000000f02bdfd</x:v>
      </x:c>
    </x:row>
    <x:row r="16" ht="24" customHeight="1">
      <x:c r="A16" s="139" t="n">
        <x:v>2</x:v>
      </x:c>
      <x:c r="B16" s="109" t="str">
        <x:v>冰沙／冰饮</x:v>
      </x:c>
      <x:c r="C16" s="109" t="str">
        <x:v>冰品甜品</x:v>
      </x:c>
      <x:c r="D16" s="139" t="n">
        <x:v>3</x:v>
      </x:c>
      <x:c r="E16" s="139" t="n">
        <x:v>10</x:v>
      </x:c>
      <x:c r="F16" s="139" t="n">
        <x:v>2</x:v>
      </x:c>
      <x:c r="G16" s="139" t="n">
        <x:v>10</x:v>
      </x:c>
      <x:c r="H16" s="142" t="n">
        <x:v>344</x:v>
      </x:c>
      <x:c r="I16" s="142" t="n">
        <x:v>935.5</x:v>
      </x:c>
      <x:c r="J16" s="142" t="n">
        <x:v>667.1</x:v>
      </x:c>
      <x:c r="K16" s="139" t="n">
        <x:v>2354</x:v>
      </x:c>
      <x:c r="L16" s="109" t="str">
        <x:v>sufficient_for_descriptive_stats</x:v>
      </x:c>
      <x:c r="M16" s="109" t="str">
        <x:v>xhs-6a62d580000000000100181a</x:v>
      </x:c>
    </x:row>
    <x:row r="17" ht="24" customHeight="1">
      <x:c r="A17" s="139" t="n">
        <x:v>2</x:v>
      </x:c>
      <x:c r="B17" s="109" t="str">
        <x:v>非产品内容</x:v>
      </x:c>
      <x:c r="C17" s="109" t="str">
        <x:v>非产品内容</x:v>
      </x:c>
      <x:c r="D17" s="139" t="n">
        <x:v>3</x:v>
      </x:c>
      <x:c r="E17" s="139" t="n">
        <x:v>3</x:v>
      </x:c>
      <x:c r="F17" s="139" t="n">
        <x:v>3</x:v>
      </x:c>
      <x:c r="G17" s="139" t="n">
        <x:v>3</x:v>
      </x:c>
      <x:c r="H17" s="142" t="n">
        <x:v>1336</x:v>
      </x:c>
      <x:c r="I17" s="142" t="n">
        <x:v>19168</x:v>
      </x:c>
      <x:c r="J17" s="142" t="n">
        <x:v>13207.67</x:v>
      </x:c>
      <x:c r="K17" s="139" t="n">
        <x:v>37000</x:v>
      </x:c>
      <x:c r="L17" s="109" t="str">
        <x:v>small_sample</x:v>
      </x:c>
      <x:c r="M17" s="109" t="str">
        <x:v>xhs-6a66d7e7000000001101fb64</x:v>
      </x:c>
    </x:row>
    <x:row r="18" ht="24" customHeight="1">
      <x:c r="A18" s="139" t="n">
        <x:v>2</x:v>
      </x:c>
      <x:c r="B18" s="109" t="str">
        <x:v>徽章／冰箱贴／贴纸／卡片</x:v>
      </x:c>
      <x:c r="C18" s="109" t="str">
        <x:v>周边包材</x:v>
      </x:c>
      <x:c r="D18" s="139" t="n">
        <x:v>3</x:v>
      </x:c>
      <x:c r="E18" s="139" t="n">
        <x:v>28</x:v>
      </x:c>
      <x:c r="F18" s="139" t="n">
        <x:v>3</x:v>
      </x:c>
      <x:c r="G18" s="139" t="n">
        <x:v>28</x:v>
      </x:c>
      <x:c r="H18" s="142" t="n">
        <x:v>634</x:v>
      </x:c>
      <x:c r="I18" s="142" t="n">
        <x:v>1263.5</x:v>
      </x:c>
      <x:c r="J18" s="142" t="n">
        <x:v>1243.86</x:v>
      </x:c>
      <x:c r="K18" s="139" t="n">
        <x:v>5722</x:v>
      </x:c>
      <x:c r="L18" s="109" t="str">
        <x:v>sufficient_for_descriptive_stats</x:v>
      </x:c>
      <x:c r="M18" s="109" t="str">
        <x:v>xhs-6a620670000000001101feb4</x:v>
      </x:c>
    </x:row>
    <x:row r="19" ht="24" customHeight="1">
      <x:c r="A19" s="139" t="n">
        <x:v>2</x:v>
      </x:c>
      <x:c r="B19" s="109" t="str">
        <x:v>奶咖</x:v>
      </x:c>
      <x:c r="C19" s="109" t="str">
        <x:v>咖啡</x:v>
      </x:c>
      <x:c r="D19" s="139" t="n">
        <x:v>3</x:v>
      </x:c>
      <x:c r="E19" s="139" t="n">
        <x:v>4</x:v>
      </x:c>
      <x:c r="F19" s="139" t="n">
        <x:v>3</x:v>
      </x:c>
      <x:c r="G19" s="139" t="n">
        <x:v>4</x:v>
      </x:c>
      <x:c r="H19" s="142" t="n">
        <x:v>396</x:v>
      </x:c>
      <x:c r="I19" s="142" t="n">
        <x:v>773.25</x:v>
      </x:c>
      <x:c r="J19" s="142" t="n">
        <x:v>660.75</x:v>
      </x:c>
      <x:c r="K19" s="139" t="n">
        <x:v>1680</x:v>
      </x:c>
      <x:c r="L19" s="109" t="str">
        <x:v>small_sample</x:v>
      </x:c>
      <x:c r="M19" s="109" t="str">
        <x:v>xhs-6a603293000000001303c324</x:v>
      </x:c>
    </x:row>
    <x:row r="20" ht="24" customHeight="1">
      <x:c r="A20" s="139" t="n">
        <x:v>2</x:v>
      </x:c>
      <x:c r="B20" s="109" t="str">
        <x:v>杯具</x:v>
      </x:c>
      <x:c r="C20" s="109" t="str">
        <x:v>周边包材</x:v>
      </x:c>
      <x:c r="D20" s="139" t="n">
        <x:v>2</x:v>
      </x:c>
      <x:c r="E20" s="139" t="n">
        <x:v>20</x:v>
      </x:c>
      <x:c r="F20" s="139" t="n">
        <x:v>2</x:v>
      </x:c>
      <x:c r="G20" s="139" t="n">
        <x:v>20</x:v>
      </x:c>
      <x:c r="H20" s="142" t="n">
        <x:v>492.5</x:v>
      </x:c>
      <x:c r="I20" s="142" t="n">
        <x:v>1341.75</x:v>
      </x:c>
      <x:c r="J20" s="142" t="n">
        <x:v>1036.05</x:v>
      </x:c>
      <x:c r="K20" s="139" t="n">
        <x:v>4144</x:v>
      </x:c>
      <x:c r="L20" s="109" t="str">
        <x:v>sufficient_for_descriptive_stats</x:v>
      </x:c>
      <x:c r="M20" s="109" t="str">
        <x:v>xhs-6a61f537000000000100dc0c</x:v>
      </x:c>
    </x:row>
    <x:row r="21" ht="24" customHeight="1">
      <x:c r="A21" s="139" t="n">
        <x:v>2</x:v>
      </x:c>
      <x:c r="B21" s="109" t="str">
        <x:v>酸奶／发酵乳</x:v>
      </x:c>
      <x:c r="C21" s="109" t="str">
        <x:v>其他饮品</x:v>
      </x:c>
      <x:c r="D21" s="139" t="n">
        <x:v>2</x:v>
      </x:c>
      <x:c r="E21" s="139" t="n">
        <x:v>8</x:v>
      </x:c>
      <x:c r="F21" s="139" t="n">
        <x:v>2</x:v>
      </x:c>
      <x:c r="G21" s="139" t="n">
        <x:v>8</x:v>
      </x:c>
      <x:c r="H21" s="142" t="n">
        <x:v>659</x:v>
      </x:c>
      <x:c r="I21" s="142" t="n">
        <x:v>1066.75</x:v>
      </x:c>
      <x:c r="J21" s="142" t="n">
        <x:v>816.13</x:v>
      </x:c>
      <x:c r="K21" s="139" t="n">
        <x:v>2354</x:v>
      </x:c>
      <x:c r="L21" s="109" t="str">
        <x:v>sufficient_for_descriptive_stats</x:v>
      </x:c>
      <x:c r="M21" s="109" t="str">
        <x:v>xhs-6a62d580000000000100181a</x:v>
      </x:c>
    </x:row>
    <x:row r="22" ht="24" customHeight="1">
      <x:c r="A22" s="139" t="n">
        <x:v>2</x:v>
      </x:c>
      <x:c r="B22" s="109" t="str">
        <x:v>Gelato／炒冰</x:v>
      </x:c>
      <x:c r="C22" s="109" t="str">
        <x:v>冰品甜品</x:v>
      </x:c>
      <x:c r="D22" s="139" t="n">
        <x:v>2</x:v>
      </x:c>
      <x:c r="E22" s="139" t="n">
        <x:v>2</x:v>
      </x:c>
      <x:c r="F22" s="139" t="n">
        <x:v>1</x:v>
      </x:c>
      <x:c r="G22" s="139" t="n">
        <x:v>2</x:v>
      </x:c>
      <x:c r="H22" s="142" t="n">
        <x:v>976</x:v>
      </x:c>
      <x:c r="I22" s="142" t="n">
        <x:v>1258</x:v>
      </x:c>
      <x:c r="J22" s="142" t="n">
        <x:v>976</x:v>
      </x:c>
      <x:c r="K22" s="139" t="n">
        <x:v>1540</x:v>
      </x:c>
      <x:c r="L22" s="109" t="str">
        <x:v>small_sample</x:v>
      </x:c>
      <x:c r="M22" s="109" t="str">
        <x:v>xhs-6a61793b000000001303cc49</x:v>
      </x:c>
    </x:row>
    <x:row r="23" ht="24" customHeight="1">
      <x:c r="A23" s="139" t="n">
        <x:v>2</x:v>
      </x:c>
      <x:c r="B23" s="109" t="str">
        <x:v>纯茶</x:v>
      </x:c>
      <x:c r="C23" s="109" t="str">
        <x:v>茶饮</x:v>
      </x:c>
      <x:c r="D23" s="139" t="n">
        <x:v>1</x:v>
      </x:c>
      <x:c r="E23" s="139" t="n">
        <x:v>9</x:v>
      </x:c>
      <x:c r="F23" s="139" t="n">
        <x:v>1</x:v>
      </x:c>
      <x:c r="G23" s="139" t="n">
        <x:v>9</x:v>
      </x:c>
      <x:c r="H23" s="142" t="n">
        <x:v>1001</x:v>
      </x:c>
      <x:c r="I23" s="142" t="n">
        <x:v>1367</x:v>
      </x:c>
      <x:c r="J23" s="142" t="n">
        <x:v>1780.67</x:v>
      </x:c>
      <x:c r="K23" s="139" t="n">
        <x:v>5722</x:v>
      </x:c>
      <x:c r="L23" s="109" t="str">
        <x:v>sufficient_for_descriptive_stats</x:v>
      </x:c>
      <x:c r="M23" s="109" t="str">
        <x:v>xhs-6a620670000000001101feb4</x:v>
      </x:c>
    </x:row>
    <x:row r="24" ht="24" customHeight="1">
      <x:c r="A24" s="139" t="n">
        <x:v>2</x:v>
      </x:c>
      <x:c r="B24" s="109" t="str">
        <x:v>果咖／茶咖</x:v>
      </x:c>
      <x:c r="C24" s="109" t="str">
        <x:v>咖啡</x:v>
      </x:c>
      <x:c r="D24" s="139" t="n">
        <x:v>1</x:v>
      </x:c>
      <x:c r="E24" s="139" t="n">
        <x:v>18</x:v>
      </x:c>
      <x:c r="F24" s="139" t="n">
        <x:v>1</x:v>
      </x:c>
      <x:c r="G24" s="139" t="n">
        <x:v>18</x:v>
      </x:c>
      <x:c r="H24" s="142" t="n">
        <x:v>478.5</x:v>
      </x:c>
      <x:c r="I24" s="142" t="n">
        <x:v>1223.5</x:v>
      </x:c>
      <x:c r="J24" s="142" t="n">
        <x:v>1031.67</x:v>
      </x:c>
      <x:c r="K24" s="139" t="n">
        <x:v>4144</x:v>
      </x:c>
      <x:c r="L24" s="109" t="str">
        <x:v>sufficient_for_descriptive_stats</x:v>
      </x:c>
      <x:c r="M24" s="109" t="str">
        <x:v>xhs-6a61f537000000000100dc0c</x:v>
      </x:c>
    </x:row>
    <x:row r="25" ht="24" customHeight="1">
      <x:c r="A25" s="139" t="n">
        <x:v>2</x:v>
      </x:c>
      <x:c r="B25" s="109" t="str">
        <x:v>冷萃</x:v>
      </x:c>
      <x:c r="C25" s="109" t="str">
        <x:v>咖啡</x:v>
      </x:c>
      <x:c r="D25" s="139" t="n">
        <x:v>1</x:v>
      </x:c>
      <x:c r="E25" s="139" t="n">
        <x:v>7</x:v>
      </x:c>
      <x:c r="F25" s="139" t="n">
        <x:v>1</x:v>
      </x:c>
      <x:c r="G25" s="139" t="n">
        <x:v>7</x:v>
      </x:c>
      <x:c r="H25" s="142" t="n">
        <x:v>851</x:v>
      </x:c>
      <x:c r="I25" s="142" t="n">
        <x:v>1137.5</x:v>
      </x:c>
      <x:c r="J25" s="142" t="n">
        <x:v>1515.43</x:v>
      </x:c>
      <x:c r="K25" s="139" t="n">
        <x:v>6568</x:v>
      </x:c>
      <x:c r="L25" s="109" t="str">
        <x:v>sufficient_for_descriptive_stats</x:v>
      </x:c>
      <x:c r="M25" s="109" t="str">
        <x:v>xhs-6a6634d1000000001c011cfd</x:v>
      </x:c>
    </x:row>
    <x:row r="26" ht="24" customHeight="1">
      <x:c r="A26" s="139" t="n">
        <x:v>2</x:v>
      </x:c>
      <x:c r="B26" s="109" t="str">
        <x:v>其他饮品</x:v>
      </x:c>
      <x:c r="C26" s="109" t="str">
        <x:v>其他饮品</x:v>
      </x:c>
      <x:c r="D26" s="139" t="n">
        <x:v>1</x:v>
      </x:c>
      <x:c r="E26" s="139" t="n">
        <x:v>3</x:v>
      </x:c>
      <x:c r="F26" s="139" t="n">
        <x:v>1</x:v>
      </x:c>
      <x:c r="G26" s="139" t="n">
        <x:v>3</x:v>
      </x:c>
      <x:c r="H26" s="142" t="n">
        <x:v>52</x:v>
      </x:c>
      <x:c r="I26" s="142" t="n">
        <x:v>98</x:v>
      </x:c>
      <x:c r="J26" s="142" t="n">
        <x:v>77</x:v>
      </x:c>
      <x:c r="K26" s="139" t="n">
        <x:v>144</x:v>
      </x:c>
      <x:c r="L26" s="109" t="str">
        <x:v>small_sample</x:v>
      </x:c>
      <x:c r="M26" s="109" t="str">
        <x:v>xhs-6a5edbe4000000000100fdec</x:v>
      </x:c>
    </x:row>
    <x:row r="27" ht="24" customHeight="1">
      <x:c r="A27" s="140" t="n">
        <x:v>2</x:v>
      </x:c>
      <x:c r="B27" s="110" t="str">
        <x:v>鲜奶茶／轻乳茶</x:v>
      </x:c>
      <x:c r="C27" s="110" t="str">
        <x:v>茶饮</x:v>
      </x:c>
      <x:c r="D27" s="140" t="n">
        <x:v>1</x:v>
      </x:c>
      <x:c r="E27" s="140" t="n">
        <x:v>1</x:v>
      </x:c>
      <x:c r="F27" s="140" t="n">
        <x:v>1</x:v>
      </x:c>
      <x:c r="G27" s="140" t="n">
        <x:v>1</x:v>
      </x:c>
      <x:c r="H27" s="143" t="n">
        <x:v>460</x:v>
      </x:c>
      <x:c r="I27" s="143" t="n">
        <x:v>460</x:v>
      </x:c>
      <x:c r="J27" s="143" t="n">
        <x:v>460</x:v>
      </x:c>
      <x:c r="K27" s="140" t="n">
        <x:v>460</x:v>
      </x:c>
      <x:c r="L27" s="110" t="str">
        <x:v>small_sample</x:v>
      </x:c>
      <x:c r="M27" s="110" t="str">
        <x:v>xhs-6a65f5f800000000110195f1</x:v>
      </x:c>
    </x:row>
  </x:sheetData>
  <x:mergeCells>
    <x:mergeCell ref="A1:M1"/>
    <x:mergeCell ref="A2:M2"/>
  </x:mergeCells>
  <x:pageMargins left="0.7" right="0.7" top="0.75" bottom="0.75" header="0.3" footer="0.3"/>
  <x:tableParts count="1">
    <x:tablePart xmlns:r="http://schemas.openxmlformats.org/officeDocument/2006/relationships" r:id="R13c745f2ff914e8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8" hidden="0" customWidth="1"/>
    <x:col min="3" max="3" width="18" hidden="0" customWidth="1"/>
    <x:col min="4" max="4" width="11" hidden="0" customWidth="1"/>
    <x:col min="5" max="5" width="11" hidden="0" customWidth="1"/>
    <x:col min="6" max="6" width="12" hidden="0" customWidth="1"/>
    <x:col min="7" max="7" width="13" hidden="0" customWidth="1"/>
    <x:col min="8" max="8" width="13" hidden="0" customWidth="1"/>
    <x:col min="9" max="9" width="12" hidden="0" customWidth="1"/>
    <x:col min="10" max="10" width="18" hidden="0" customWidth="1"/>
    <x:col min="11" max="11" width="12" hidden="0" customWidth="1"/>
    <x:col min="12" max="12" width="26" hidden="0" customWidth="1"/>
  </x:cols>
  <x:sheetData>
    <x:row r="1" ht="36" customHeight="1">
      <x:c r="A1" s="3" t="str">
        <x:v>原料/产品元素｜跨品牌信号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 ht="34" customHeight="1">
      <x:c r="A2" s="7" t="str">
        <x:v>signal_level=trend_candidate 仅表示已满足当期跨品牌候选条件，不代表行业趋势已经得证。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</x:row>
    <x:row r="4" ht="30" customHeight="1">
      <x:c r="A4" s="34" t="str">
        <x:v>原料/元素</x:v>
      </x:c>
      <x:c r="B4" s="34" t="str">
        <x:v>归属</x:v>
      </x:c>
      <x:c r="C4" s="34" t="str">
        <x:v>信号级别</x:v>
      </x:c>
      <x:c r="D4" s="34" t="str">
        <x:v>事件数</x:v>
      </x:c>
      <x:c r="E4" s="34" t="str">
        <x:v>内容数</x:v>
      </x:c>
      <x:c r="F4" s="34" t="str">
        <x:v>活跃品牌</x:v>
      </x:c>
      <x:c r="G4" s="34" t="str">
        <x:v>点赞有效N</x:v>
      </x:c>
      <x:c r="H4" s="34" t="str">
        <x:v>点赞中位数</x:v>
      </x:c>
      <x:c r="I4" s="34" t="str">
        <x:v>点赞P75</x:v>
      </x:c>
      <x:c r="J4" s="34" t="str">
        <x:v>点赞均值（辅助）</x:v>
      </x:c>
      <x:c r="K4" s="34" t="str">
        <x:v>最大值</x:v>
      </x:c>
      <x:c r="L4" s="34" t="str">
        <x:v>样本标识</x:v>
      </x:c>
    </x:row>
    <x:row r="5" ht="24" customHeight="1">
      <x:c r="A5" s="108" t="str">
        <x:v>茉莉</x:v>
      </x:c>
      <x:c r="B5" s="108" t="str">
        <x:v>茶与花香</x:v>
      </x:c>
      <x:c r="C5" s="108" t="str">
        <x:v>trend_candidate</x:v>
      </x:c>
      <x:c r="D5" s="138" t="n">
        <x:v>7</x:v>
      </x:c>
      <x:c r="E5" s="138" t="n">
        <x:v>9</x:v>
      </x:c>
      <x:c r="F5" s="138" t="n">
        <x:v>3</x:v>
      </x:c>
      <x:c r="G5" s="138" t="n">
        <x:v>9</x:v>
      </x:c>
      <x:c r="H5" s="141" t="n">
        <x:v>927</x:v>
      </x:c>
      <x:c r="I5" s="141" t="n">
        <x:v>1022</x:v>
      </x:c>
      <x:c r="J5" s="141" t="n">
        <x:v>1031.67</x:v>
      </x:c>
      <x:c r="K5" s="138" t="n">
        <x:v>3730</x:v>
      </x:c>
      <x:c r="L5" s="108" t="str">
        <x:v>sufficient_for_descriptive_stats</x:v>
      </x:c>
    </x:row>
    <x:row r="6" ht="24" customHeight="1">
      <x:c r="A6" s="109" t="str">
        <x:v>柠檬</x:v>
      </x:c>
      <x:c r="B6" s="109" t="str">
        <x:v>柑橘类</x:v>
      </x:c>
      <x:c r="C6" s="109" t="str">
        <x:v>trend_candidate</x:v>
      </x:c>
      <x:c r="D6" s="139" t="n">
        <x:v>6</x:v>
      </x:c>
      <x:c r="E6" s="139" t="n">
        <x:v>10</x:v>
      </x:c>
      <x:c r="F6" s="139" t="n">
        <x:v>4</x:v>
      </x:c>
      <x:c r="G6" s="139" t="n">
        <x:v>10</x:v>
      </x:c>
      <x:c r="H6" s="142" t="n">
        <x:v>503.5</x:v>
      </x:c>
      <x:c r="I6" s="142" t="n">
        <x:v>935.5</x:v>
      </x:c>
      <x:c r="J6" s="142" t="n">
        <x:v>591.2</x:v>
      </x:c>
      <x:c r="K6" s="139" t="n">
        <x:v>1420</x:v>
      </x:c>
      <x:c r="L6" s="109" t="str">
        <x:v>sufficient_for_descriptive_stats</x:v>
      </x:c>
    </x:row>
    <x:row r="7" ht="24" customHeight="1">
      <x:c r="A7" s="109" t="str">
        <x:v>柑橘</x:v>
      </x:c>
      <x:c r="B7" s="109" t="str">
        <x:v>柑橘类</x:v>
      </x:c>
      <x:c r="C7" s="109" t="str">
        <x:v>cross_brand_signal</x:v>
      </x:c>
      <x:c r="D7" s="139" t="n">
        <x:v>5</x:v>
      </x:c>
      <x:c r="E7" s="139" t="n">
        <x:v>10</x:v>
      </x:c>
      <x:c r="F7" s="139" t="n">
        <x:v>2</x:v>
      </x:c>
      <x:c r="G7" s="139" t="n">
        <x:v>10</x:v>
      </x:c>
      <x:c r="H7" s="142" t="n">
        <x:v>608</x:v>
      </x:c>
      <x:c r="I7" s="142" t="n">
        <x:v>943.5</x:v>
      </x:c>
      <x:c r="J7" s="142" t="n">
        <x:v>748.8</x:v>
      </x:c>
      <x:c r="K7" s="139" t="n">
        <x:v>2354</x:v>
      </x:c>
      <x:c r="L7" s="109" t="str">
        <x:v>sufficient_for_descriptive_stats</x:v>
      </x:c>
    </x:row>
    <x:row r="8" ht="24" customHeight="1">
      <x:c r="A8" s="109" t="str">
        <x:v>芒果</x:v>
      </x:c>
      <x:c r="B8" s="109" t="str">
        <x:v>水果／热带水果</x:v>
      </x:c>
      <x:c r="C8" s="109" t="str">
        <x:v>trend_candidate</x:v>
      </x:c>
      <x:c r="D8" s="139" t="n">
        <x:v>4</x:v>
      </x:c>
      <x:c r="E8" s="139" t="n">
        <x:v>4</x:v>
      </x:c>
      <x:c r="F8" s="139" t="n">
        <x:v>4</x:v>
      </x:c>
      <x:c r="G8" s="139" t="n">
        <x:v>4</x:v>
      </x:c>
      <x:c r="H8" s="142" t="n">
        <x:v>334.5</x:v>
      </x:c>
      <x:c r="I8" s="142" t="n">
        <x:v>423.5</x:v>
      </x:c>
      <x:c r="J8" s="142" t="n">
        <x:v>320.5</x:v>
      </x:c>
      <x:c r="K8" s="139" t="n">
        <x:v>458</x:v>
      </x:c>
      <x:c r="L8" s="109" t="str">
        <x:v>small_sample</x:v>
      </x:c>
    </x:row>
    <x:row r="9" ht="24" customHeight="1">
      <x:c r="A9" s="109" t="str">
        <x:v>酸奶</x:v>
      </x:c>
      <x:c r="B9" s="109" t="str">
        <x:v>乳品与椰</x:v>
      </x:c>
      <x:c r="C9" s="109" t="str">
        <x:v>trend_candidate</x:v>
      </x:c>
      <x:c r="D9" s="139" t="n">
        <x:v>4</x:v>
      </x:c>
      <x:c r="E9" s="139" t="n">
        <x:v>8</x:v>
      </x:c>
      <x:c r="F9" s="139" t="n">
        <x:v>4</x:v>
      </x:c>
      <x:c r="G9" s="139" t="n">
        <x:v>8</x:v>
      </x:c>
      <x:c r="H9" s="142" t="n">
        <x:v>922</x:v>
      </x:c>
      <x:c r="I9" s="142" t="n">
        <x:v>1450</x:v>
      </x:c>
      <x:c r="J9" s="142" t="n">
        <x:v>1004.5</x:v>
      </x:c>
      <x:c r="K9" s="139" t="n">
        <x:v>2354</x:v>
      </x:c>
      <x:c r="L9" s="109" t="str">
        <x:v>sufficient_for_descriptive_stats</x:v>
      </x:c>
    </x:row>
    <x:row r="10" ht="24" customHeight="1">
      <x:c r="A10" s="109" t="str">
        <x:v>百香果</x:v>
      </x:c>
      <x:c r="B10" s="109" t="str">
        <x:v>水果／热带水果</x:v>
      </x:c>
      <x:c r="C10" s="109" t="str">
        <x:v>trend_candidate</x:v>
      </x:c>
      <x:c r="D10" s="139" t="n">
        <x:v>3</x:v>
      </x:c>
      <x:c r="E10" s="139" t="n">
        <x:v>3</x:v>
      </x:c>
      <x:c r="F10" s="139" t="n">
        <x:v>3</x:v>
      </x:c>
      <x:c r="G10" s="139" t="n">
        <x:v>3</x:v>
      </x:c>
      <x:c r="H10" s="142" t="n">
        <x:v>155</x:v>
      </x:c>
      <x:c r="I10" s="142" t="n">
        <x:v>276.5</x:v>
      </x:c>
      <x:c r="J10" s="142" t="n">
        <x:v>230.67</x:v>
      </x:c>
      <x:c r="K10" s="139" t="n">
        <x:v>398</x:v>
      </x:c>
      <x:c r="L10" s="109" t="str">
        <x:v>small_sample</x:v>
      </x:c>
    </x:row>
    <x:row r="11" ht="24" customHeight="1">
      <x:c r="A11" s="109" t="str">
        <x:v>糯米</x:v>
      </x:c>
      <x:c r="B11" s="109" t="str">
        <x:v>谷物／豆类／坚果</x:v>
      </x:c>
      <x:c r="C11" s="109" t="str">
        <x:v>trend_candidate</x:v>
      </x:c>
      <x:c r="D11" s="139" t="n">
        <x:v>3</x:v>
      </x:c>
      <x:c r="E11" s="139" t="n">
        <x:v>3</x:v>
      </x:c>
      <x:c r="F11" s="139" t="n">
        <x:v>3</x:v>
      </x:c>
      <x:c r="G11" s="139" t="n">
        <x:v>3</x:v>
      </x:c>
      <x:c r="H11" s="142" t="n">
        <x:v>257</x:v>
      </x:c>
      <x:c r="I11" s="142" t="n">
        <x:v>898.5</x:v>
      </x:c>
      <x:c r="J11" s="142" t="n">
        <x:v>650.67</x:v>
      </x:c>
      <x:c r="K11" s="139" t="n">
        <x:v>1540</x:v>
      </x:c>
      <x:c r="L11" s="109" t="str">
        <x:v>small_sample</x:v>
      </x:c>
    </x:row>
    <x:row r="12" ht="24" customHeight="1">
      <x:c r="A12" s="109" t="str">
        <x:v>苹果</x:v>
      </x:c>
      <x:c r="B12" s="109" t="str">
        <x:v>水果／热带水果</x:v>
      </x:c>
      <x:c r="C12" s="109" t="str">
        <x:v>cross_brand_signal</x:v>
      </x:c>
      <x:c r="D12" s="139" t="n">
        <x:v>3</x:v>
      </x:c>
      <x:c r="E12" s="139" t="n">
        <x:v>5</x:v>
      </x:c>
      <x:c r="F12" s="139" t="n">
        <x:v>2</x:v>
      </x:c>
      <x:c r="G12" s="139" t="n">
        <x:v>5</x:v>
      </x:c>
      <x:c r="H12" s="142" t="n">
        <x:v>1311</x:v>
      </x:c>
      <x:c r="I12" s="142" t="n">
        <x:v>1951</x:v>
      </x:c>
      <x:c r="J12" s="142" t="n">
        <x:v>2334.6</x:v>
      </x:c>
      <x:c r="K12" s="139" t="n">
        <x:v>7833</x:v>
      </x:c>
      <x:c r="L12" s="109" t="str">
        <x:v>sufficient_for_descriptive_stats</x:v>
      </x:c>
    </x:row>
    <x:row r="13" ht="24" customHeight="1">
      <x:c r="A13" s="109" t="str">
        <x:v>西瓜</x:v>
      </x:c>
      <x:c r="B13" s="109" t="str">
        <x:v>水果／热带水果</x:v>
      </x:c>
      <x:c r="C13" s="109" t="str">
        <x:v>cross_brand_signal</x:v>
      </x:c>
      <x:c r="D13" s="139" t="n">
        <x:v>3</x:v>
      </x:c>
      <x:c r="E13" s="139" t="n">
        <x:v>4</x:v>
      </x:c>
      <x:c r="F13" s="139" t="n">
        <x:v>2</x:v>
      </x:c>
      <x:c r="G13" s="139" t="n">
        <x:v>4</x:v>
      </x:c>
      <x:c r="H13" s="142" t="n">
        <x:v>974.5</x:v>
      </x:c>
      <x:c r="I13" s="142" t="n">
        <x:v>2029.75</x:v>
      </x:c>
      <x:c r="J13" s="142" t="n">
        <x:v>1912.25</x:v>
      </x:c>
      <x:c r="K13" s="139" t="n">
        <x:v>5053</x:v>
      </x:c>
      <x:c r="L13" s="109" t="str">
        <x:v>small_sample</x:v>
      </x:c>
    </x:row>
    <x:row r="14" ht="24" customHeight="1">
      <x:c r="A14" s="109" t="str">
        <x:v>菠萝</x:v>
      </x:c>
      <x:c r="B14" s="109" t="str">
        <x:v>水果／热带水果</x:v>
      </x:c>
      <x:c r="C14" s="109" t="str">
        <x:v>cross_brand_signal</x:v>
      </x:c>
      <x:c r="D14" s="139" t="n">
        <x:v>2</x:v>
      </x:c>
      <x:c r="E14" s="139" t="n">
        <x:v>21</x:v>
      </x:c>
      <x:c r="F14" s="139" t="n">
        <x:v>2</x:v>
      </x:c>
      <x:c r="G14" s="139" t="n">
        <x:v>21</x:v>
      </x:c>
      <x:c r="H14" s="142" t="n">
        <x:v>545</x:v>
      </x:c>
      <x:c r="I14" s="142" t="n">
        <x:v>1229</x:v>
      </x:c>
      <x:c r="J14" s="142" t="n">
        <x:v>1256.29</x:v>
      </x:c>
      <x:c r="K14" s="139" t="n">
        <x:v>6568</x:v>
      </x:c>
      <x:c r="L14" s="109" t="str">
        <x:v>sufficient_for_descriptive_stats</x:v>
      </x:c>
    </x:row>
    <x:row r="15" ht="24" customHeight="1">
      <x:c r="A15" s="109" t="str">
        <x:v>椰</x:v>
      </x:c>
      <x:c r="B15" s="109" t="str">
        <x:v>乳品与椰</x:v>
      </x:c>
      <x:c r="C15" s="109" t="str">
        <x:v>cross_brand_signal</x:v>
      </x:c>
      <x:c r="D15" s="139" t="n">
        <x:v>2</x:v>
      </x:c>
      <x:c r="E15" s="139" t="n">
        <x:v>8</x:v>
      </x:c>
      <x:c r="F15" s="139" t="n">
        <x:v>2</x:v>
      </x:c>
      <x:c r="G15" s="139" t="n">
        <x:v>8</x:v>
      </x:c>
      <x:c r="H15" s="142" t="n">
        <x:v>494</x:v>
      </x:c>
      <x:c r="I15" s="142" t="n">
        <x:v>936</x:v>
      </x:c>
      <x:c r="J15" s="142" t="n">
        <x:v>1298.88</x:v>
      </x:c>
      <x:c r="K15" s="139" t="n">
        <x:v>6568</x:v>
      </x:c>
      <x:c r="L15" s="109" t="str">
        <x:v>sufficient_for_descriptive_stats</x:v>
      </x:c>
    </x:row>
    <x:row r="16" ht="24" customHeight="1">
      <x:c r="A16" s="109" t="str">
        <x:v>抹茶</x:v>
      </x:c>
      <x:c r="B16" s="109" t="str">
        <x:v>茶与花香</x:v>
      </x:c>
      <x:c r="C16" s="109" t="str">
        <x:v>single_brand_case</x:v>
      </x:c>
      <x:c r="D16" s="139" t="n">
        <x:v>2</x:v>
      </x:c>
      <x:c r="E16" s="139" t="n">
        <x:v>7</x:v>
      </x:c>
      <x:c r="F16" s="139" t="n">
        <x:v>1</x:v>
      </x:c>
      <x:c r="G16" s="139" t="n">
        <x:v>7</x:v>
      </x:c>
      <x:c r="H16" s="142" t="n">
        <x:v>895</x:v>
      </x:c>
      <x:c r="I16" s="142" t="n">
        <x:v>1184.5</x:v>
      </x:c>
      <x:c r="J16" s="142" t="n">
        <x:v>920</x:v>
      </x:c>
      <x:c r="K16" s="139" t="n">
        <x:v>2354</x:v>
      </x:c>
      <x:c r="L16" s="109" t="str">
        <x:v>sufficient_for_descriptive_stats</x:v>
      </x:c>
    </x:row>
    <x:row r="17" ht="24" customHeight="1">
      <x:c r="A17" s="109" t="str">
        <x:v>芭乐</x:v>
      </x:c>
      <x:c r="B17" s="109" t="str">
        <x:v>水果／热带水果</x:v>
      </x:c>
      <x:c r="C17" s="109" t="str">
        <x:v>single_brand_case</x:v>
      </x:c>
      <x:c r="D17" s="139" t="n">
        <x:v>1</x:v>
      </x:c>
      <x:c r="E17" s="139" t="n">
        <x:v>1</x:v>
      </x:c>
      <x:c r="F17" s="139" t="n">
        <x:v>1</x:v>
      </x:c>
      <x:c r="G17" s="139" t="n">
        <x:v>1</x:v>
      </x:c>
      <x:c r="H17" s="142" t="n">
        <x:v>412</x:v>
      </x:c>
      <x:c r="I17" s="142" t="n">
        <x:v>412</x:v>
      </x:c>
      <x:c r="J17" s="142" t="n">
        <x:v>412</x:v>
      </x:c>
      <x:c r="K17" s="139" t="n">
        <x:v>412</x:v>
      </x:c>
      <x:c r="L17" s="109" t="str">
        <x:v>small_sample</x:v>
      </x:c>
    </x:row>
    <x:row r="18" ht="24" customHeight="1">
      <x:c r="A18" s="109" t="str">
        <x:v>黑巧</x:v>
      </x:c>
      <x:c r="B18" s="109" t="str">
        <x:v>可可／甜品风味</x:v>
      </x:c>
      <x:c r="C18" s="109" t="str">
        <x:v>single_brand_case</x:v>
      </x:c>
      <x:c r="D18" s="139" t="n">
        <x:v>1</x:v>
      </x:c>
      <x:c r="E18" s="139" t="n">
        <x:v>1</x:v>
      </x:c>
      <x:c r="F18" s="139" t="n">
        <x:v>1</x:v>
      </x:c>
      <x:c r="G18" s="139" t="n">
        <x:v>1</x:v>
      </x:c>
      <x:c r="H18" s="142" t="n">
        <x:v>363</x:v>
      </x:c>
      <x:c r="I18" s="142" t="n">
        <x:v>363</x:v>
      </x:c>
      <x:c r="J18" s="142" t="n">
        <x:v>363</x:v>
      </x:c>
      <x:c r="K18" s="139" t="n">
        <x:v>363</x:v>
      </x:c>
      <x:c r="L18" s="109" t="str">
        <x:v>small_sample</x:v>
      </x:c>
    </x:row>
    <x:row r="19" ht="24" customHeight="1">
      <x:c r="A19" s="109" t="str">
        <x:v>黄桃</x:v>
      </x:c>
      <x:c r="B19" s="109" t="str">
        <x:v>核果类</x:v>
      </x:c>
      <x:c r="C19" s="109" t="str">
        <x:v>single_brand_case</x:v>
      </x:c>
      <x:c r="D19" s="139" t="n">
        <x:v>1</x:v>
      </x:c>
      <x:c r="E19" s="139" t="n">
        <x:v>5</x:v>
      </x:c>
      <x:c r="F19" s="139" t="n">
        <x:v>1</x:v>
      </x:c>
      <x:c r="G19" s="139" t="n">
        <x:v>5</x:v>
      </x:c>
      <x:c r="H19" s="142" t="n">
        <x:v>2331</x:v>
      </x:c>
      <x:c r="I19" s="142" t="n">
        <x:v>3756</x:v>
      </x:c>
      <x:c r="J19" s="142" t="n">
        <x:v>2667.8</x:v>
      </x:c>
      <x:c r="K19" s="139" t="n">
        <x:v>6267</x:v>
      </x:c>
      <x:c r="L19" s="109" t="str">
        <x:v>sufficient_for_descriptive_stats</x:v>
      </x:c>
    </x:row>
    <x:row r="20" ht="24" customHeight="1">
      <x:c r="A20" s="110" t="str">
        <x:v>绿豆</x:v>
      </x:c>
      <x:c r="B20" s="110" t="str">
        <x:v>谷物／豆类／坚果</x:v>
      </x:c>
      <x:c r="C20" s="110" t="str">
        <x:v>single_brand_case</x:v>
      </x:c>
      <x:c r="D20" s="140" t="n">
        <x:v>1</x:v>
      </x:c>
      <x:c r="E20" s="140" t="n">
        <x:v>3</x:v>
      </x:c>
      <x:c r="F20" s="140" t="n">
        <x:v>1</x:v>
      </x:c>
      <x:c r="G20" s="140" t="n">
        <x:v>3</x:v>
      </x:c>
      <x:c r="H20" s="143" t="n">
        <x:v>52</x:v>
      </x:c>
      <x:c r="I20" s="143" t="n">
        <x:v>98</x:v>
      </x:c>
      <x:c r="J20" s="143" t="n">
        <x:v>77</x:v>
      </x:c>
      <x:c r="K20" s="140" t="n">
        <x:v>144</x:v>
      </x:c>
      <x:c r="L20" s="110" t="str">
        <x:v>small_sample</x:v>
      </x:c>
    </x:row>
  </x:sheetData>
  <x:mergeCells>
    <x:mergeCell ref="A1:L1"/>
    <x:mergeCell ref="A2:L2"/>
  </x:mergeCells>
  <x:pageMargins left="0.7" right="0.7" top="0.75" bottom="0.75" header="0.3" footer="0.3"/>
  <x:tableParts count="1">
    <x:tablePart xmlns:r="http://schemas.openxmlformats.org/officeDocument/2006/relationships" r:id="R1ef65fb47a9747e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2" hidden="0" customWidth="1"/>
    <x:col min="3" max="3" width="18" hidden="0" customWidth="1"/>
    <x:col min="4" max="4" width="11" hidden="0" customWidth="1"/>
    <x:col min="5" max="5" width="11" hidden="0" customWidth="1"/>
    <x:col min="6" max="6" width="12" hidden="0" customWidth="1"/>
    <x:col min="7" max="7" width="13" hidden="0" customWidth="1"/>
    <x:col min="8" max="8" width="13" hidden="0" customWidth="1"/>
    <x:col min="9" max="9" width="12" hidden="0" customWidth="1"/>
    <x:col min="10" max="10" width="18" hidden="0" customWidth="1"/>
    <x:col min="11" max="11" width="12" hidden="0" customWidth="1"/>
    <x:col min="12" max="12" width="26" hidden="0" customWidth="1"/>
  </x:cols>
  <x:sheetData>
    <x:row r="1" ht="36" customHeight="1">
      <x:c r="A1" s="3" t="str">
        <x:v>联名分析｜合作方与 IP 类型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 ht="34" customHeight="1">
      <x:c r="A2" s="7" t="str">
        <x:v>联名主体多为单品牌案例；小样本行仅用于案例发现，不用于推断赛道热度。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</x:row>
    <x:row r="4" ht="30" customHeight="1">
      <x:c r="A4" s="34" t="str">
        <x:v>联名方/IP</x:v>
      </x:c>
      <x:c r="B4" s="34" t="str">
        <x:v>类型</x:v>
      </x:c>
      <x:c r="C4" s="34" t="str">
        <x:v>信号级别</x:v>
      </x:c>
      <x:c r="D4" s="34" t="str">
        <x:v>事件数</x:v>
      </x:c>
      <x:c r="E4" s="34" t="str">
        <x:v>内容数</x:v>
      </x:c>
      <x:c r="F4" s="34" t="str">
        <x:v>活跃品牌</x:v>
      </x:c>
      <x:c r="G4" s="34" t="str">
        <x:v>点赞有效N</x:v>
      </x:c>
      <x:c r="H4" s="34" t="str">
        <x:v>点赞中位数</x:v>
      </x:c>
      <x:c r="I4" s="34" t="str">
        <x:v>点赞P75</x:v>
      </x:c>
      <x:c r="J4" s="34" t="str">
        <x:v>点赞均值（辅助）</x:v>
      </x:c>
      <x:c r="K4" s="34" t="str">
        <x:v>最大值</x:v>
      </x:c>
      <x:c r="L4" s="34" t="str">
        <x:v>样本标识</x:v>
      </x:c>
    </x:row>
    <x:row r="5" ht="24" customHeight="1">
      <x:c r="A5" s="108" t="str">
        <x:v>多邻国</x:v>
      </x:c>
      <x:c r="B5" s="108" t="str">
        <x:v>品牌跨界</x:v>
      </x:c>
      <x:c r="C5" s="108" t="str">
        <x:v>single_brand_case</x:v>
      </x:c>
      <x:c r="D5" s="138" t="n">
        <x:v>1</x:v>
      </x:c>
      <x:c r="E5" s="138" t="n">
        <x:v>2</x:v>
      </x:c>
      <x:c r="F5" s="138" t="n">
        <x:v>1</x:v>
      </x:c>
      <x:c r="G5" s="138" t="n">
        <x:v>2</x:v>
      </x:c>
      <x:c r="H5" s="141" t="n">
        <x:v>2316</x:v>
      </x:c>
      <x:c r="I5" s="141" t="n">
        <x:v>2575</x:v>
      </x:c>
      <x:c r="J5" s="141" t="n">
        <x:v>2316</x:v>
      </x:c>
      <x:c r="K5" s="138" t="n">
        <x:v>2834</x:v>
      </x:c>
      <x:c r="L5" s="108" t="str">
        <x:v>small_sample</x:v>
      </x:c>
    </x:row>
    <x:row r="6" ht="24" customHeight="1">
      <x:c r="A6" s="109" t="str">
        <x:v>米菲</x:v>
      </x:c>
      <x:c r="B6" s="109" t="str">
        <x:v>潮流角色 IP</x:v>
      </x:c>
      <x:c r="C6" s="109" t="str">
        <x:v>single_brand_case</x:v>
      </x:c>
      <x:c r="D6" s="139" t="n">
        <x:v>1</x:v>
      </x:c>
      <x:c r="E6" s="139" t="n">
        <x:v>2</x:v>
      </x:c>
      <x:c r="F6" s="139" t="n">
        <x:v>1</x:v>
      </x:c>
      <x:c r="G6" s="139" t="n">
        <x:v>2</x:v>
      </x:c>
      <x:c r="H6" s="142" t="n">
        <x:v>1075.5</x:v>
      </x:c>
      <x:c r="I6" s="142" t="n">
        <x:v>1377.75</x:v>
      </x:c>
      <x:c r="J6" s="142" t="n">
        <x:v>1075.5</x:v>
      </x:c>
      <x:c r="K6" s="139" t="n">
        <x:v>1680</x:v>
      </x:c>
      <x:c r="L6" s="109" t="str">
        <x:v>small_sample</x:v>
      </x:c>
    </x:row>
    <x:row r="7" ht="24" customHeight="1">
      <x:c r="A7" s="109" t="str">
        <x:v>三丽鸥</x:v>
      </x:c>
      <x:c r="B7" s="109" t="str">
        <x:v>潮流角色 IP</x:v>
      </x:c>
      <x:c r="C7" s="109" t="str">
        <x:v>single_brand_case</x:v>
      </x:c>
      <x:c r="D7" s="139" t="n">
        <x:v>1</x:v>
      </x:c>
      <x:c r="E7" s="139" t="n">
        <x:v>1</x:v>
      </x:c>
      <x:c r="F7" s="139" t="n">
        <x:v>1</x:v>
      </x:c>
      <x:c r="G7" s="139" t="n">
        <x:v>1</x:v>
      </x:c>
      <x:c r="H7" s="142" t="n">
        <x:v>1065</x:v>
      </x:c>
      <x:c r="I7" s="142" t="n">
        <x:v>1065</x:v>
      </x:c>
      <x:c r="J7" s="142" t="n">
        <x:v>1065</x:v>
      </x:c>
      <x:c r="K7" s="139" t="n">
        <x:v>1065</x:v>
      </x:c>
      <x:c r="L7" s="109" t="str">
        <x:v>small_sample</x:v>
      </x:c>
    </x:row>
    <x:row r="8" ht="24" customHeight="1">
      <x:c r="A8" s="109" t="str">
        <x:v>王者荣耀</x:v>
      </x:c>
      <x:c r="B8" s="109" t="str">
        <x:v>游戏 IP</x:v>
      </x:c>
      <x:c r="C8" s="109" t="str">
        <x:v>single_brand_case</x:v>
      </x:c>
      <x:c r="D8" s="139" t="n">
        <x:v>1</x:v>
      </x:c>
      <x:c r="E8" s="139" t="n">
        <x:v>8</x:v>
      </x:c>
      <x:c r="F8" s="139" t="n">
        <x:v>1</x:v>
      </x:c>
      <x:c r="G8" s="139" t="n">
        <x:v>8</x:v>
      </x:c>
      <x:c r="H8" s="142" t="n">
        <x:v>1033</x:v>
      </x:c>
      <x:c r="I8" s="142" t="n">
        <x:v>2184</x:v>
      </x:c>
      <x:c r="J8" s="142" t="n">
        <x:v>1881.25</x:v>
      </x:c>
      <x:c r="K8" s="139" t="n">
        <x:v>5722</x:v>
      </x:c>
      <x:c r="L8" s="109" t="str">
        <x:v>sufficient_for_descriptive_stats</x:v>
      </x:c>
    </x:row>
    <x:row r="9" ht="24" customHeight="1">
      <x:c r="A9" s="109" t="str">
        <x:v>赞萌露比</x:v>
      </x:c>
      <x:c r="B9" s="109" t="str">
        <x:v>潮流角色 IP</x:v>
      </x:c>
      <x:c r="C9" s="109" t="str">
        <x:v>single_brand_case</x:v>
      </x:c>
      <x:c r="D9" s="139" t="n">
        <x:v>1</x:v>
      </x:c>
      <x:c r="E9" s="139" t="n">
        <x:v>4</x:v>
      </x:c>
      <x:c r="F9" s="139" t="n">
        <x:v>1</x:v>
      </x:c>
      <x:c r="G9" s="139" t="n">
        <x:v>4</x:v>
      </x:c>
      <x:c r="H9" s="142" t="n">
        <x:v>351</x:v>
      </x:c>
      <x:c r="I9" s="142" t="n">
        <x:v>677.25</x:v>
      </x:c>
      <x:c r="J9" s="142" t="n">
        <x:v>488.75</x:v>
      </x:c>
      <x:c r="K9" s="139" t="n">
        <x:v>1155</x:v>
      </x:c>
      <x:c r="L9" s="109" t="str">
        <x:v>small_sample</x:v>
      </x:c>
    </x:row>
    <x:row r="10" ht="24" customHeight="1">
      <x:c r="A10" s="109" t="str">
        <x:v>斩神</x:v>
      </x:c>
      <x:c r="B10" s="109" t="str">
        <x:v>文学／国漫 IP</x:v>
      </x:c>
      <x:c r="C10" s="109" t="str">
        <x:v>single_brand_case</x:v>
      </x:c>
      <x:c r="D10" s="139" t="n">
        <x:v>1</x:v>
      </x:c>
      <x:c r="E10" s="139" t="n">
        <x:v>3</x:v>
      </x:c>
      <x:c r="F10" s="139" t="n">
        <x:v>1</x:v>
      </x:c>
      <x:c r="G10" s="139" t="n">
        <x:v>3</x:v>
      </x:c>
      <x:c r="H10" s="142" t="n">
        <x:v>642</x:v>
      </x:c>
      <x:c r="I10" s="142" t="n">
        <x:v>898</x:v>
      </x:c>
      <x:c r="J10" s="142" t="n">
        <x:v>802.67</x:v>
      </x:c>
      <x:c r="K10" s="139" t="n">
        <x:v>1154</x:v>
      </x:c>
      <x:c r="L10" s="109" t="str">
        <x:v>small_sample</x:v>
      </x:c>
    </x:row>
    <x:row r="11" ht="24" customHeight="1">
      <x:c r="A11" s="109" t="str">
        <x:v>蜘蛛侠</x:v>
      </x:c>
      <x:c r="B11" s="109" t="str">
        <x:v>影视／动漫 IP</x:v>
      </x:c>
      <x:c r="C11" s="109" t="str">
        <x:v>single_brand_case</x:v>
      </x:c>
      <x:c r="D11" s="139" t="n">
        <x:v>1</x:v>
      </x:c>
      <x:c r="E11" s="139" t="n">
        <x:v>18</x:v>
      </x:c>
      <x:c r="F11" s="139" t="n">
        <x:v>1</x:v>
      </x:c>
      <x:c r="G11" s="139" t="n">
        <x:v>18</x:v>
      </x:c>
      <x:c r="H11" s="142" t="n">
        <x:v>478.5</x:v>
      </x:c>
      <x:c r="I11" s="142" t="n">
        <x:v>1223.5</x:v>
      </x:c>
      <x:c r="J11" s="142" t="n">
        <x:v>1031.67</x:v>
      </x:c>
      <x:c r="K11" s="139" t="n">
        <x:v>4144</x:v>
      </x:c>
      <x:c r="L11" s="109" t="str">
        <x:v>sufficient_for_descriptive_stats</x:v>
      </x:c>
    </x:row>
    <x:row r="12" ht="24" customHeight="1">
      <x:c r="A12" s="110" t="str">
        <x:v>Crocs</x:v>
      </x:c>
      <x:c r="B12" s="110" t="str">
        <x:v>品牌跨界</x:v>
      </x:c>
      <x:c r="C12" s="110" t="str">
        <x:v>single_brand_case</x:v>
      </x:c>
      <x:c r="D12" s="140" t="n">
        <x:v>1</x:v>
      </x:c>
      <x:c r="E12" s="140" t="n">
        <x:v>6</x:v>
      </x:c>
      <x:c r="F12" s="140" t="n">
        <x:v>1</x:v>
      </x:c>
      <x:c r="G12" s="140" t="n">
        <x:v>6</x:v>
      </x:c>
      <x:c r="H12" s="143" t="n">
        <x:v>698</x:v>
      </x:c>
      <x:c r="I12" s="143" t="n">
        <x:v>1025.75</x:v>
      </x:c>
      <x:c r="J12" s="143" t="n">
        <x:v>1569.5</x:v>
      </x:c>
      <x:c r="K12" s="140" t="n">
        <x:v>6568</x:v>
      </x:c>
      <x:c r="L12" s="110" t="str">
        <x:v>sufficient_for_descriptive_stats</x:v>
      </x:c>
    </x:row>
  </x:sheetData>
  <x:mergeCells>
    <x:mergeCell ref="A1:L1"/>
    <x:mergeCell ref="A2:L2"/>
  </x:mergeCells>
  <x:pageMargins left="0.7" right="0.7" top="0.75" bottom="0.75" header="0.3" footer="0.3"/>
  <x:tableParts count="1">
    <x:tablePart xmlns:r="http://schemas.openxmlformats.org/officeDocument/2006/relationships" r:id="Rcad48c1b2b8a402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6" hidden="0" customWidth="1"/>
    <x:col min="3" max="3" width="16" hidden="0" customWidth="1"/>
    <x:col min="4" max="4" width="38" hidden="0" customWidth="1"/>
    <x:col min="5" max="5" width="13" hidden="0" customWidth="1"/>
    <x:col min="6" max="6" width="13" hidden="0" customWidth="1"/>
    <x:col min="7" max="7" width="34" hidden="0" customWidth="1"/>
    <x:col min="8" max="8" width="45" hidden="0" customWidth="1"/>
    <x:col min="9" max="9" width="16" hidden="0" customWidth="1"/>
    <x:col min="10" max="10" width="17" hidden="0" customWidth="1"/>
    <x:col min="11" max="11" width="20" hidden="0" customWidth="1"/>
  </x:cols>
  <x:sheetData>
    <x:row r="1" ht="36" customHeight="1">
      <x:c r="A1" s="3" t="str">
        <x:v>促销观测｜机制汇总与逐条证据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 ht="34" customHeight="1">
      <x:c r="A2" s="7" t="str">
        <x:v>品牌官方证据与发现层线索分开统计；只有 included_in_official_kpi=true 的证据进入官方口径。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</x:row>
    <x:row r="4">
      <x:c r="A4" s="10" t="str">
        <x:v>促销机制汇总</x:v>
      </x:c>
      <x:c r="B4" s="10"/>
      <x:c r="C4" s="10"/>
      <x:c r="D4" s="10"/>
      <x:c r="E4" s="10"/>
      <x:c r="F4" s="10"/>
      <x:c r="G4" s="10"/>
    </x:row>
    <x:row r="5">
      <x:c r="A5" s="34" t="str">
        <x:v>来源层</x:v>
      </x:c>
      <x:c r="B5" s="34" t="str">
        <x:v>促销类型</x:v>
      </x:c>
      <x:c r="C5" s="34" t="str">
        <x:v>证据数</x:v>
      </x:c>
      <x:c r="D5" s="34" t="str">
        <x:v>活跃品牌</x:v>
      </x:c>
      <x:c r="E5" s="34" t="str">
        <x:v>已审核</x:v>
      </x:c>
      <x:c r="F5" s="34" t="str">
        <x:v>待复核</x:v>
      </x:c>
      <x:c r="G5" s="34" t="str">
        <x:v>进入官方KPI</x:v>
      </x:c>
    </x:row>
    <x:row r="6">
      <x:c r="A6" s="108" t="str">
        <x:v>brand</x:v>
      </x:c>
      <x:c r="B6" s="108" t="str">
        <x:v>买一送一</x:v>
      </x:c>
      <x:c r="C6" s="114" t="n">
        <x:v>3</x:v>
      </x:c>
      <x:c r="D6" s="114" t="n">
        <x:v>2</x:v>
      </x:c>
      <x:c r="E6" s="114" t="n">
        <x:v>3</x:v>
      </x:c>
      <x:c r="F6" s="114" t="n">
        <x:v>0</x:v>
      </x:c>
      <x:c r="G6" s="158" t="b">
        <x:v>1</x:v>
      </x:c>
    </x:row>
    <x:row r="7">
      <x:c r="A7" s="109" t="str">
        <x:v>brand</x:v>
      </x:c>
      <x:c r="B7" s="109" t="str">
        <x:v>赠品</x:v>
      </x:c>
      <x:c r="C7" s="115" t="n">
        <x:v>1</x:v>
      </x:c>
      <x:c r="D7" s="115" t="n">
        <x:v>1</x:v>
      </x:c>
      <x:c r="E7" s="115" t="n">
        <x:v>1</x:v>
      </x:c>
      <x:c r="F7" s="115" t="n">
        <x:v>0</x:v>
      </x:c>
      <x:c r="G7" s="159" t="b">
        <x:v>1</x:v>
      </x:c>
    </x:row>
    <x:row r="8">
      <x:c r="A8" s="109" t="str">
        <x:v>brand</x:v>
      </x:c>
      <x:c r="B8" s="109" t="str">
        <x:v>优惠券</x:v>
      </x:c>
      <x:c r="C8" s="115" t="n">
        <x:v>2</x:v>
      </x:c>
      <x:c r="D8" s="115" t="n">
        <x:v>1</x:v>
      </x:c>
      <x:c r="E8" s="115" t="n">
        <x:v>2</x:v>
      </x:c>
      <x:c r="F8" s="115" t="n">
        <x:v>0</x:v>
      </x:c>
      <x:c r="G8" s="159" t="b">
        <x:v>1</x:v>
      </x:c>
    </x:row>
    <x:row r="9">
      <x:c r="A9" s="109" t="str">
        <x:v>brand</x:v>
      </x:c>
      <x:c r="B9" s="109" t="str">
        <x:v>限时一口价</x:v>
      </x:c>
      <x:c r="C9" s="115" t="n">
        <x:v>1</x:v>
      </x:c>
      <x:c r="D9" s="115" t="n">
        <x:v>1</x:v>
      </x:c>
      <x:c r="E9" s="115" t="n">
        <x:v>1</x:v>
      </x:c>
      <x:c r="F9" s="115" t="n">
        <x:v>0</x:v>
      </x:c>
      <x:c r="G9" s="159" t="b">
        <x:v>1</x:v>
      </x:c>
    </x:row>
    <x:row r="10">
      <x:c r="A10" s="109" t="str">
        <x:v>brand</x:v>
      </x:c>
      <x:c r="B10" s="109" t="str">
        <x:v>阶梯次卡</x:v>
      </x:c>
      <x:c r="C10" s="115" t="n">
        <x:v>1</x:v>
      </x:c>
      <x:c r="D10" s="115" t="n">
        <x:v>1</x:v>
      </x:c>
      <x:c r="E10" s="115" t="n">
        <x:v>1</x:v>
      </x:c>
      <x:c r="F10" s="115" t="n">
        <x:v>0</x:v>
      </x:c>
      <x:c r="G10" s="159" t="b">
        <x:v>1</x:v>
      </x:c>
    </x:row>
    <x:row r="11">
      <x:c r="A11" s="110" t="str">
        <x:v>third_party</x:v>
      </x:c>
      <x:c r="B11" s="110" t="str">
        <x:v>低价线索</x:v>
      </x:c>
      <x:c r="C11" s="116" t="n">
        <x:v>1</x:v>
      </x:c>
      <x:c r="D11" s="116" t="n">
        <x:v>1</x:v>
      </x:c>
      <x:c r="E11" s="116" t="n">
        <x:v>0</x:v>
      </x:c>
      <x:c r="F11" s="116" t="n">
        <x:v>1</x:v>
      </x:c>
      <x:c r="G11" s="160" t="b">
        <x:v>0</x:v>
      </x:c>
    </x:row>
    <x:row r="14">
      <x:c r="A14" s="47" t="str">
        <x:v>逐条促销证据</x:v>
      </x:c>
      <x:c r="B14" s="47"/>
      <x:c r="C14" s="47"/>
      <x:c r="D14" s="47"/>
      <x:c r="E14" s="47"/>
      <x:c r="F14" s="47"/>
      <x:c r="G14" s="47"/>
      <x:c r="H14" s="47"/>
      <x:c r="I14" s="47"/>
      <x:c r="J14" s="47"/>
      <x:c r="K14" s="47"/>
    </x:row>
    <x:row r="15">
      <x:c r="A15" s="51" t="str">
        <x:v>来源层</x:v>
      </x:c>
      <x:c r="B15" s="51" t="str">
        <x:v>品牌</x:v>
      </x:c>
      <x:c r="C15" s="51" t="str">
        <x:v>类型</x:v>
      </x:c>
      <x:c r="D15" s="51" t="str">
        <x:v>机制</x:v>
      </x:c>
      <x:c r="E15" s="51" t="str">
        <x:v>开始日期</x:v>
      </x:c>
      <x:c r="F15" s="51" t="str">
        <x:v>结束日期</x:v>
      </x:c>
      <x:c r="G15" s="51" t="str">
        <x:v>证据说明</x:v>
      </x:c>
      <x:c r="H15" s="51" t="str">
        <x:v>原帖链接</x:v>
      </x:c>
      <x:c r="I15" s="51" t="str">
        <x:v>审核状态</x:v>
      </x:c>
      <x:c r="J15" s="51" t="str">
        <x:v>进入官方KPI</x:v>
      </x:c>
      <x:c r="K15" s="51" t="str">
        <x:v>抓取时间</x:v>
      </x:c>
    </x:row>
    <x:row r="16" ht="46" customHeight="1">
      <x:c r="A16" s="42" t="str">
        <x:v>brand</x:v>
      </x:c>
      <x:c r="B16" s="42" t="str">
        <x:v>喜茶</x:v>
      </x:c>
      <x:c r="C16" s="42" t="str">
        <x:v>买一送一</x:v>
      </x:c>
      <x:c r="D16" s="42" t="str">
        <x:v>金韵苹果人参果上市当日买一送一</x:v>
      </x:c>
      <x:c r="E16" s="167"/>
      <x:c r="F16" s="167"/>
      <x:c r="G16" s="42" t="str">
        <x:v>品牌正文明确写明今日买一送一</x:v>
      </x:c>
      <x:c r="H16" s="42" t="str">
        <x:v>https://www.xiaohongshu.com/explore/6a60247c000000000c0152af</x:v>
      </x:c>
      <x:c r="I16" s="42" t="str">
        <x:v>approved</x:v>
      </x:c>
      <x:c r="J16" s="164" t="b">
        <x:v>1</x:v>
      </x:c>
      <x:c r="K16" s="170" t="n">
        <x:v>46230.57228076389</x:v>
      </x:c>
    </x:row>
    <x:row r="17" ht="46" customHeight="1">
      <x:c r="A17" s="43" t="str">
        <x:v>brand</x:v>
      </x:c>
      <x:c r="B17" s="43" t="str">
        <x:v>喜茶</x:v>
      </x:c>
      <x:c r="C17" s="43" t="str">
        <x:v>买一送一</x:v>
      </x:c>
      <x:c r="D17" s="43" t="str">
        <x:v>炒冰+茶饮买一送一</x:v>
      </x:c>
      <x:c r="E17" s="168" t="n">
        <x:v>46227</x:v>
      </x:c>
      <x:c r="F17" s="168" t="n">
        <x:v>46233</x:v>
      </x:c>
      <x:c r="G17" s="43" t="str">
        <x:v>品牌正文明确活动日期与机制</x:v>
      </x:c>
      <x:c r="H17" s="43" t="str">
        <x:v>https://www.xiaohongshu.com/explore/6a6346da000000000a038ee9</x:v>
      </x:c>
      <x:c r="I17" s="43" t="str">
        <x:v>approved</x:v>
      </x:c>
      <x:c r="J17" s="165" t="b">
        <x:v>1</x:v>
      </x:c>
      <x:c r="K17" s="171" t="n">
        <x:v>46230.57223010417</x:v>
      </x:c>
    </x:row>
    <x:row r="18" ht="46" customHeight="1">
      <x:c r="A18" s="43" t="str">
        <x:v>brand</x:v>
      </x:c>
      <x:c r="B18" s="43" t="str">
        <x:v>喜茶</x:v>
      </x:c>
      <x:c r="C18" s="43" t="str">
        <x:v>赠品</x:v>
      </x:c>
      <x:c r="D18" s="43" t="str">
        <x:v>入群并打卡赠限定冰箱贴</x:v>
      </x:c>
      <x:c r="E18" s="168" t="n">
        <x:v>46227</x:v>
      </x:c>
      <x:c r="F18" s="168" t="n">
        <x:v>46233</x:v>
      </x:c>
      <x:c r="G18" s="43" t="str">
        <x:v>品牌正文明确赠品条件</x:v>
      </x:c>
      <x:c r="H18" s="43" t="str">
        <x:v>https://www.xiaohongshu.com/explore/6a6346da000000000a038ee9</x:v>
      </x:c>
      <x:c r="I18" s="43" t="str">
        <x:v>approved</x:v>
      </x:c>
      <x:c r="J18" s="165" t="b">
        <x:v>1</x:v>
      </x:c>
      <x:c r="K18" s="171" t="n">
        <x:v>46230.57223010417</x:v>
      </x:c>
    </x:row>
    <x:row r="19" ht="46" customHeight="1">
      <x:c r="A19" s="43" t="str">
        <x:v>brand</x:v>
      </x:c>
      <x:c r="B19" s="43" t="str">
        <x:v>霸王茶姬</x:v>
      </x:c>
      <x:c r="C19" s="43" t="str">
        <x:v>优惠券</x:v>
      </x:c>
      <x:c r="D19" s="43" t="str">
        <x:v>0.01元好茶兑换券奖池加码</x:v>
      </x:c>
      <x:c r="E19" s="168" t="n">
        <x:v>46227</x:v>
      </x:c>
      <x:c r="F19" s="168" t="n">
        <x:v>46238</x:v>
      </x:c>
      <x:c r="G19" s="43" t="str">
        <x:v>品牌正文明确券种与活动日期</x:v>
      </x:c>
      <x:c r="H19" s="43" t="str">
        <x:v>https://www.xiaohongshu.com/explore/6a63127f000000001102f2bd</x:v>
      </x:c>
      <x:c r="I19" s="43" t="str">
        <x:v>approved</x:v>
      </x:c>
      <x:c r="J19" s="165" t="b">
        <x:v>1</x:v>
      </x:c>
      <x:c r="K19" s="171" t="n">
        <x:v>46230.571945428244</x:v>
      </x:c>
    </x:row>
    <x:row r="20" ht="46" customHeight="1">
      <x:c r="A20" s="43" t="str">
        <x:v>brand</x:v>
      </x:c>
      <x:c r="B20" s="43" t="str">
        <x:v>霸王茶姬</x:v>
      </x:c>
      <x:c r="C20" s="43" t="str">
        <x:v>优惠券</x:v>
      </x:c>
      <x:c r="D20" s="43" t="str">
        <x:v>买1送1优惠券奖池每日数量翻倍</x:v>
      </x:c>
      <x:c r="E20" s="168" t="n">
        <x:v>46227</x:v>
      </x:c>
      <x:c r="F20" s="168" t="n">
        <x:v>46238</x:v>
      </x:c>
      <x:c r="G20" s="43" t="str">
        <x:v>品牌正文明确券种与加码机制</x:v>
      </x:c>
      <x:c r="H20" s="43" t="str">
        <x:v>https://www.xiaohongshu.com/explore/6a63127f000000001102f2bd</x:v>
      </x:c>
      <x:c r="I20" s="43" t="str">
        <x:v>approved</x:v>
      </x:c>
      <x:c r="J20" s="165" t="b">
        <x:v>1</x:v>
      </x:c>
      <x:c r="K20" s="171" t="n">
        <x:v>46230.571945428244</x:v>
      </x:c>
    </x:row>
    <x:row r="21" ht="46" customHeight="1">
      <x:c r="A21" s="43" t="str">
        <x:v>brand</x:v>
      </x:c>
      <x:c r="B21" s="43" t="str">
        <x:v>瑞幸咖啡</x:v>
      </x:c>
      <x:c r="C21" s="43" t="str">
        <x:v>买一送一</x:v>
      </x:c>
      <x:c r="D21" s="43" t="str">
        <x:v>指定时段买一送一秒杀</x:v>
      </x:c>
      <x:c r="E21" s="168" t="n">
        <x:v>46230</x:v>
      </x:c>
      <x:c r="F21" s="168" t="n">
        <x:v>46236</x:v>
      </x:c>
      <x:c r="G21" s="43" t="str">
        <x:v>品牌正文明确三个秒杀时段</x:v>
      </x:c>
      <x:c r="H21" s="43" t="str">
        <x:v>https://www.xiaohongshu.com/explore/6a65cefe0000000010024134</x:v>
      </x:c>
      <x:c r="I21" s="43" t="str">
        <x:v>approved</x:v>
      </x:c>
      <x:c r="J21" s="165" t="b">
        <x:v>1</x:v>
      </x:c>
      <x:c r="K21" s="171" t="n">
        <x:v>46230.56878354167</x:v>
      </x:c>
    </x:row>
    <x:row r="22" ht="46" customHeight="1">
      <x:c r="A22" s="43" t="str">
        <x:v>brand</x:v>
      </x:c>
      <x:c r="B22" s="43" t="str">
        <x:v>瑞幸咖啡</x:v>
      </x:c>
      <x:c r="C22" s="43" t="str">
        <x:v>限时一口价</x:v>
      </x:c>
      <x:c r="D22" s="43" t="str">
        <x:v>限时限量一口价，具体规则以站内活动为准</x:v>
      </x:c>
      <x:c r="E22" s="168" t="n">
        <x:v>46230</x:v>
      </x:c>
      <x:c r="F22" s="168" t="n">
        <x:v>46236</x:v>
      </x:c>
      <x:c r="G22" s="43" t="str">
        <x:v>品牌正文明确机制但未提供具体价格</x:v>
      </x:c>
      <x:c r="H22" s="43" t="str">
        <x:v>https://www.xiaohongshu.com/explore/6a65cefe0000000010024134</x:v>
      </x:c>
      <x:c r="I22" s="43" t="str">
        <x:v>approved</x:v>
      </x:c>
      <x:c r="J22" s="165" t="b">
        <x:v>1</x:v>
      </x:c>
      <x:c r="K22" s="171" t="n">
        <x:v>46230.56878354167</x:v>
      </x:c>
    </x:row>
    <x:row r="23" ht="46" customHeight="1">
      <x:c r="A23" s="43" t="str">
        <x:v>brand</x:v>
      </x:c>
      <x:c r="B23" s="43" t="str">
        <x:v>瑞幸咖啡</x:v>
      </x:c>
      <x:c r="C23" s="43" t="str">
        <x:v>阶梯次卡</x:v>
      </x:c>
      <x:c r="D23" s="43" t="str">
        <x:v>阶梯次卡，具体规则以站内活动为准</x:v>
      </x:c>
      <x:c r="E23" s="168" t="n">
        <x:v>46230</x:v>
      </x:c>
      <x:c r="F23" s="168" t="n">
        <x:v>46236</x:v>
      </x:c>
      <x:c r="G23" s="43" t="str">
        <x:v>品牌正文明确机制但未提供完整档位</x:v>
      </x:c>
      <x:c r="H23" s="43" t="str">
        <x:v>https://www.xiaohongshu.com/explore/6a65cefe0000000010024134</x:v>
      </x:c>
      <x:c r="I23" s="43" t="str">
        <x:v>approved</x:v>
      </x:c>
      <x:c r="J23" s="165" t="b">
        <x:v>1</x:v>
      </x:c>
      <x:c r="K23" s="171" t="n">
        <x:v>46230.56878354167</x:v>
      </x:c>
    </x:row>
    <x:row r="24" ht="46" customHeight="1">
      <x:c r="A24" s="44" t="str">
        <x:v>third_party</x:v>
      </x:c>
      <x:c r="B24" s="44" t="str">
        <x:v>瑞幸咖啡</x:v>
      </x:c>
      <x:c r="C24" s="44" t="str">
        <x:v>低价线索</x:v>
      </x:c>
      <x:c r="D24" s="44" t="str">
        <x:v>第三方帖子声称8月可继续2元购买瑞幸咖啡</x:v>
      </x:c>
      <x:c r="E24" s="169" t="n">
        <x:v>46235</x:v>
      </x:c>
      <x:c r="F24" s="169"/>
      <x:c r="G24" s="44" t="str">
        <x:v>仅作为行业发现层线索；尚未找到对应官方规则，不进入官方促销KPI</x:v>
      </x:c>
      <x:c r="H24" s="44" t="str">
        <x:v>https://www.xiaohongshu.com/explore/6a6d5b23000000002403e4a2</x:v>
      </x:c>
      <x:c r="I24" s="44" t="str">
        <x:v>needs_official_confirmation</x:v>
      </x:c>
      <x:c r="J24" s="166" t="b">
        <x:v>0</x:v>
      </x:c>
      <x:c r="K24" s="172"/>
    </x:row>
  </x:sheetData>
  <x:mergeCells>
    <x:mergeCell ref="A1:K1"/>
    <x:mergeCell ref="A2:K2"/>
    <x:mergeCell ref="A4:G4"/>
    <x:mergeCell ref="A14:K14"/>
  </x:mergeCells>
  <x:conditionalFormatting sqref="I16:I24">
    <x:cfRule type="containsText" dxfId="9" priority="1" operator="containsText" text="approved"/>
    <x:cfRule type="containsText" dxfId="10" priority="2" operator="containsText" text="needs"/>
    <x:cfRule type="containsText" dxfId="11" priority="3" operator="containsText" text="provisional"/>
  </x:conditionalFormatting>
  <x:pageMargins left="0.7" right="0.7" top="0.75" bottom="0.75" header="0.3" footer="0.3"/>
  <x:tableParts count="2">
    <x:tablePart xmlns:r="http://schemas.openxmlformats.org/officeDocument/2006/relationships" r:id="R38a1e209b28d4914"/>
    <x:tablePart xmlns:r="http://schemas.openxmlformats.org/officeDocument/2006/relationships" r:id="Rccfe97dccbe845d7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1" hidden="0" customWidth="1"/>
    <x:col min="3" max="3" width="11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2" hidden="0" customWidth="1"/>
    <x:col min="9" max="9" width="18" hidden="0" customWidth="1"/>
    <x:col min="10" max="10" width="12" hidden="0" customWidth="1"/>
    <x:col min="11" max="11" width="20" hidden="0" customWidth="1"/>
    <x:col min="12" max="12" width="18" hidden="0" customWidth="1"/>
    <x:col min="13" max="13" width="26" hidden="0" customWidth="1"/>
    <x:col min="14" max="14" width="30" hidden="0" customWidth="1"/>
  </x:cols>
  <x:sheetData>
    <x:row r="1" ht="36" customHeight="1">
      <x:c r="A1" s="3" t="str">
        <x:v>品牌对比｜事件广度、内容密度与互动分布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</x:row>
    <x:row r="2" ht="34" customHeight="1">
      <x:c r="A2" s="7" t="str">
        <x:v>各品牌发布数、账号规模和内容风格不同，不应仅根据均值排名；优先看事件数、中位数、P75 与有效N。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</x:row>
    <x:row r="4" ht="30" customHeight="1">
      <x:c r="A4" s="34" t="str">
        <x:v>品牌</x:v>
      </x:c>
      <x:c r="B4" s="34" t="str">
        <x:v>事件数</x:v>
      </x:c>
      <x:c r="C4" s="34" t="str">
        <x:v>内容数</x:v>
      </x:c>
      <x:c r="D4" s="34" t="str">
        <x:v>覆盖主题数</x:v>
      </x:c>
      <x:c r="E4" s="34" t="str">
        <x:v>待复核事件</x:v>
      </x:c>
      <x:c r="F4" s="34" t="str">
        <x:v>点赞有效N</x:v>
      </x:c>
      <x:c r="G4" s="34" t="str">
        <x:v>点赞中位数</x:v>
      </x:c>
      <x:c r="H4" s="34" t="str">
        <x:v>点赞P75</x:v>
      </x:c>
      <x:c r="I4" s="34" t="str">
        <x:v>点赞均值（辅助）</x:v>
      </x:c>
      <x:c r="J4" s="34" t="str">
        <x:v>最大值</x:v>
      </x:c>
      <x:c r="K4" s="34" t="str">
        <x:v>快照时延中位数(小时)</x:v>
      </x:c>
      <x:c r="L4" s="34" t="str">
        <x:v>快照最大时延(小时)</x:v>
      </x:c>
      <x:c r="M4" s="34" t="str">
        <x:v>样本标识</x:v>
      </x:c>
      <x:c r="N4" s="34" t="str">
        <x:v>代表内容ID</x:v>
      </x:c>
    </x:row>
    <x:row r="5" ht="24" customHeight="1">
      <x:c r="A5" s="108" t="str">
        <x:v>瑞幸咖啡</x:v>
      </x:c>
      <x:c r="B5" s="138" t="n">
        <x:v>7</x:v>
      </x:c>
      <x:c r="C5" s="138" t="n">
        <x:v>15</x:v>
      </x:c>
      <x:c r="D5" s="138" t="n">
        <x:v>3</x:v>
      </x:c>
      <x:c r="E5" s="138" t="str">
        <x:v>0</x:v>
      </x:c>
      <x:c r="F5" s="138" t="n">
        <x:v>15</x:v>
      </x:c>
      <x:c r="G5" s="141" t="n">
        <x:v>1173</x:v>
      </x:c>
      <x:c r="H5" s="141" t="n">
        <x:v>2316</x:v>
      </x:c>
      <x:c r="I5" s="141" t="n">
        <x:v>3934.07</x:v>
      </x:c>
      <x:c r="J5" s="138" t="n">
        <x:v>37000</x:v>
      </x:c>
      <x:c r="K5" s="141" t="n">
        <x:v>75.3</x:v>
      </x:c>
      <x:c r="L5" s="141" t="n">
        <x:v>148</x:v>
      </x:c>
      <x:c r="M5" s="108" t="str">
        <x:v>sufficient_for_descriptive_stats</x:v>
      </x:c>
      <x:c r="N5" s="108" t="str">
        <x:v>xhs-6a66d7e7000000001101fb64</x:v>
      </x:c>
    </x:row>
    <x:row r="6" ht="24" customHeight="1">
      <x:c r="A6" s="109" t="str">
        <x:v>茶百道</x:v>
      </x:c>
      <x:c r="B6" s="139" t="n">
        <x:v>7</x:v>
      </x:c>
      <x:c r="C6" s="139" t="n">
        <x:v>13</x:v>
      </x:c>
      <x:c r="D6" s="139" t="n">
        <x:v>2</x:v>
      </x:c>
      <x:c r="E6" s="139" t="str">
        <x:v>0</x:v>
      </x:c>
      <x:c r="F6" s="139" t="n">
        <x:v>13</x:v>
      </x:c>
      <x:c r="G6" s="142" t="n">
        <x:v>729</x:v>
      </x:c>
      <x:c r="H6" s="142" t="n">
        <x:v>949</x:v>
      </x:c>
      <x:c r="I6" s="142" t="n">
        <x:v>795.62</x:v>
      </x:c>
      <x:c r="J6" s="139" t="n">
        <x:v>2354</x:v>
      </x:c>
      <x:c r="K6" s="142" t="n">
        <x:v>99.8</x:v>
      </x:c>
      <x:c r="L6" s="142" t="n">
        <x:v>152.2</x:v>
      </x:c>
      <x:c r="M6" s="109" t="str">
        <x:v>sufficient_for_descriptive_stats</x:v>
      </x:c>
      <x:c r="N6" s="109" t="str">
        <x:v>xhs-6a62d580000000000100181a</x:v>
      </x:c>
    </x:row>
    <x:row r="7" ht="24" customHeight="1">
      <x:c r="A7" s="109" t="str">
        <x:v>蜜雪冰城</x:v>
      </x:c>
      <x:c r="B7" s="139" t="n">
        <x:v>4</x:v>
      </x:c>
      <x:c r="C7" s="139" t="n">
        <x:v>9</x:v>
      </x:c>
      <x:c r="D7" s="139" t="n">
        <x:v>2</x:v>
      </x:c>
      <x:c r="E7" s="139" t="str">
        <x:v>0</x:v>
      </x:c>
      <x:c r="F7" s="139" t="n">
        <x:v>9</x:v>
      </x:c>
      <x:c r="G7" s="142" t="n">
        <x:v>2331</x:v>
      </x:c>
      <x:c r="H7" s="142" t="n">
        <x:v>5053</x:v>
      </x:c>
      <x:c r="I7" s="142" t="n">
        <x:v>3345.89</x:v>
      </x:c>
      <x:c r="J7" s="139" t="n">
        <x:v>11000</x:v>
      </x:c>
      <x:c r="K7" s="142" t="n">
        <x:v>57.7</x:v>
      </x:c>
      <x:c r="L7" s="142" t="n">
        <x:v>127.1</x:v>
      </x:c>
      <x:c r="M7" s="109" t="str">
        <x:v>sufficient_for_descriptive_stats</x:v>
      </x:c>
      <x:c r="N7" s="109" t="str">
        <x:v>xhs-6a61909f0000000001002bb5</x:v>
      </x:c>
    </x:row>
    <x:row r="8" ht="24" customHeight="1">
      <x:c r="A8" s="109" t="str">
        <x:v>喜茶</x:v>
      </x:c>
      <x:c r="B8" s="139" t="n">
        <x:v>4</x:v>
      </x:c>
      <x:c r="C8" s="139" t="n">
        <x:v>6</x:v>
      </x:c>
      <x:c r="D8" s="139" t="n">
        <x:v>2</x:v>
      </x:c>
      <x:c r="E8" s="139" t="str">
        <x:v>0</x:v>
      </x:c>
      <x:c r="F8" s="139" t="n">
        <x:v>6</x:v>
      </x:c>
      <x:c r="G8" s="142" t="n">
        <x:v>1425.5</x:v>
      </x:c>
      <x:c r="H8" s="142" t="n">
        <x:v>1848.25</x:v>
      </x:c>
      <x:c r="I8" s="142" t="n">
        <x:v>2257.67</x:v>
      </x:c>
      <x:c r="J8" s="139" t="n">
        <x:v>7833</x:v>
      </x:c>
      <x:c r="K8" s="142" t="n">
        <x:v>91.1</x:v>
      </x:c>
      <x:c r="L8" s="142" t="n">
        <x:v>155.7</x:v>
      </x:c>
      <x:c r="M8" s="109" t="str">
        <x:v>sufficient_for_descriptive_stats</x:v>
      </x:c>
      <x:c r="N8" s="109" t="str">
        <x:v>xhs-6a5ed2c500000000130267b8</x:v>
      </x:c>
    </x:row>
    <x:row r="9" ht="24" customHeight="1">
      <x:c r="A9" s="109" t="str">
        <x:v>茉莉奶白</x:v>
      </x:c>
      <x:c r="B9" s="139" t="n">
        <x:v>4</x:v>
      </x:c>
      <x:c r="C9" s="139" t="n">
        <x:v>5</x:v>
      </x:c>
      <x:c r="D9" s="139" t="n">
        <x:v>3</x:v>
      </x:c>
      <x:c r="E9" s="139" t="str">
        <x:v>0</x:v>
      </x:c>
      <x:c r="F9" s="139" t="n">
        <x:v>5</x:v>
      </x:c>
      <x:c r="G9" s="142" t="n">
        <x:v>460</x:v>
      </x:c>
      <x:c r="H9" s="142" t="n">
        <x:v>1022</x:v>
      </x:c>
      <x:c r="I9" s="142" t="n">
        <x:v>611.4</x:v>
      </x:c>
      <x:c r="J9" s="139" t="n">
        <x:v>1065</x:v>
      </x:c>
      <x:c r="K9" s="142" t="n">
        <x:v>96.4</x:v>
      </x:c>
      <x:c r="L9" s="142" t="n">
        <x:v>147</x:v>
      </x:c>
      <x:c r="M9" s="109" t="str">
        <x:v>sufficient_for_descriptive_stats</x:v>
      </x:c>
      <x:c r="N9" s="109" t="str">
        <x:v>xhs-6a6215dc000000000f02ba74</x:v>
      </x:c>
    </x:row>
    <x:row r="10" ht="24" customHeight="1">
      <x:c r="A10" s="109" t="str">
        <x:v>库迪咖啡</x:v>
      </x:c>
      <x:c r="B10" s="139" t="n">
        <x:v>3</x:v>
      </x:c>
      <x:c r="C10" s="139" t="n">
        <x:v>22</x:v>
      </x:c>
      <x:c r="D10" s="139" t="n">
        <x:v>3</x:v>
      </x:c>
      <x:c r="E10" s="139" t="str">
        <x:v>0</x:v>
      </x:c>
      <x:c r="F10" s="139" t="n">
        <x:v>22</x:v>
      </x:c>
      <x:c r="G10" s="142" t="n">
        <x:v>627</x:v>
      </x:c>
      <x:c r="H10" s="142" t="n">
        <x:v>1223.5</x:v>
      </x:c>
      <x:c r="I10" s="142" t="n">
        <x:v>1012.05</x:v>
      </x:c>
      <x:c r="J10" s="139" t="n">
        <x:v>4144</x:v>
      </x:c>
      <x:c r="K10" s="142" t="n">
        <x:v>76</x:v>
      </x:c>
      <x:c r="L10" s="142" t="n">
        <x:v>124</x:v>
      </x:c>
      <x:c r="M10" s="109" t="str">
        <x:v>sufficient_for_descriptive_stats</x:v>
      </x:c>
      <x:c r="N10" s="109" t="str">
        <x:v>xhs-6a61f537000000000100dc0c</x:v>
      </x:c>
    </x:row>
    <x:row r="11" ht="24" customHeight="1">
      <x:c r="A11" s="109" t="str">
        <x:v>霸王茶姬</x:v>
      </x:c>
      <x:c r="B11" s="139" t="n">
        <x:v>2</x:v>
      </x:c>
      <x:c r="C11" s="139" t="n">
        <x:v>10</x:v>
      </x:c>
      <x:c r="D11" s="139" t="n">
        <x:v>3</x:v>
      </x:c>
      <x:c r="E11" s="139" t="str">
        <x:v>0</x:v>
      </x:c>
      <x:c r="F11" s="139" t="n">
        <x:v>10</x:v>
      </x:c>
      <x:c r="G11" s="142" t="n">
        <x:v>1033</x:v>
      </x:c>
      <x:c r="H11" s="142" t="n">
        <x:v>1359.25</x:v>
      </x:c>
      <x:c r="I11" s="142" t="n">
        <x:v>1736.2</x:v>
      </x:c>
      <x:c r="J11" s="139" t="n">
        <x:v>5722</x:v>
      </x:c>
      <x:c r="K11" s="142" t="n">
        <x:v>81</x:v>
      </x:c>
      <x:c r="L11" s="142" t="n">
        <x:v>125.5</x:v>
      </x:c>
      <x:c r="M11" s="109" t="str">
        <x:v>sufficient_for_descriptive_stats</x:v>
      </x:c>
      <x:c r="N11" s="109" t="str">
        <x:v>xhs-6a620670000000001101feb4</x:v>
      </x:c>
    </x:row>
    <x:row r="12" ht="24" customHeight="1">
      <x:c r="A12" s="109" t="str">
        <x:v>古茗</x:v>
      </x:c>
      <x:c r="B12" s="139" t="n">
        <x:v>2</x:v>
      </x:c>
      <x:c r="C12" s="139" t="n">
        <x:v>4</x:v>
      </x:c>
      <x:c r="D12" s="139" t="n">
        <x:v>2</x:v>
      </x:c>
      <x:c r="E12" s="139" t="str">
        <x:v>0</x:v>
      </x:c>
      <x:c r="F12" s="139" t="n">
        <x:v>4</x:v>
      </x:c>
      <x:c r="G12" s="142" t="n">
        <x:v>313</x:v>
      </x:c>
      <x:c r="H12" s="142" t="n">
        <x:v>773.25</x:v>
      </x:c>
      <x:c r="I12" s="142" t="n">
        <x:v>593.5</x:v>
      </x:c>
      <x:c r="J12" s="139" t="n">
        <x:v>1680</x:v>
      </x:c>
      <x:c r="K12" s="142" t="n">
        <x:v>117.25</x:v>
      </x:c>
      <x:c r="L12" s="142" t="n">
        <x:v>130.7</x:v>
      </x:c>
      <x:c r="M12" s="109" t="str">
        <x:v>small_sample</x:v>
      </x:c>
      <x:c r="N12" s="109" t="str">
        <x:v>xhs-6a603293000000001303c324</x:v>
      </x:c>
    </x:row>
    <x:row r="13" ht="24" customHeight="1">
      <x:c r="A13" s="110" t="str">
        <x:v>沪上阿姨</x:v>
      </x:c>
      <x:c r="B13" s="140" t="n">
        <x:v>2</x:v>
      </x:c>
      <x:c r="C13" s="140" t="n">
        <x:v>10</x:v>
      </x:c>
      <x:c r="D13" s="140" t="n">
        <x:v>2</x:v>
      </x:c>
      <x:c r="E13" s="140" t="str">
        <x:v>0</x:v>
      </x:c>
      <x:c r="F13" s="140" t="n">
        <x:v>10</x:v>
      </x:c>
      <x:c r="G13" s="143" t="n">
        <x:v>237.5</x:v>
      </x:c>
      <x:c r="H13" s="143" t="n">
        <x:v>508</x:v>
      </x:c>
      <x:c r="I13" s="143" t="n">
        <x:v>347.6</x:v>
      </x:c>
      <x:c r="J13" s="140" t="n">
        <x:v>1155</x:v>
      </x:c>
      <x:c r="K13" s="143" t="n">
        <x:v>47.15</x:v>
      </x:c>
      <x:c r="L13" s="143" t="n">
        <x:v>155</x:v>
      </x:c>
      <x:c r="M13" s="110" t="str">
        <x:v>sufficient_for_descriptive_stats</x:v>
      </x:c>
      <x:c r="N13" s="110" t="str">
        <x:v>xhs-6a6589e1000000000402abaf</x:v>
      </x:c>
    </x:row>
  </x:sheetData>
  <x:mergeCells>
    <x:mergeCell ref="A1:N1"/>
    <x:mergeCell ref="A2:N2"/>
  </x:mergeCells>
  <x:pageMargins left="0.7" right="0.7" top="0.75" bottom="0.75" header="0.3" footer="0.3"/>
  <x:tableParts count="1">
    <x:tablePart xmlns:r="http://schemas.openxmlformats.org/officeDocument/2006/relationships" r:id="R103711e58c5543a1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5" hidden="0" customWidth="1"/>
    <x:col min="3" max="3" width="44" hidden="0" customWidth="1"/>
    <x:col min="4" max="4" width="44" hidden="0" customWidth="1"/>
    <x:col min="5" max="5" width="46" hidden="0" customWidth="1"/>
    <x:col min="6" max="6" width="12" hidden="0" customWidth="1"/>
    <x:col min="7" max="7" width="46" hidden="0" customWidth="1"/>
    <x:col min="8" max="8" width="16" hidden="0" customWidth="1"/>
    <x:col min="9" max="9" width="48" hidden="0" customWidth="1"/>
  </x:cols>
  <x:sheetData>
    <x:row r="1" ht="36" customHeight="1">
      <x:c r="A1" s="3" t="str">
        <x:v>近 7 日热点选题｜编辑参考层</x:v>
      </x:c>
      <x:c r="B1" s="3"/>
      <x:c r="C1" s="3"/>
      <x:c r="D1" s="3"/>
      <x:c r="E1" s="3"/>
      <x:c r="F1" s="3"/>
      <x:c r="G1" s="3"/>
      <x:c r="H1" s="3"/>
      <x:c r="I1" s="3"/>
    </x:row>
    <x:row r="2" ht="34" customHeight="1">
      <x:c r="A2" s="7" t="str">
        <x:v>热点账号的收录和互动快照只用于选题，不进入品牌 KPI，也不代表全平台热度排名。</x:v>
      </x:c>
      <x:c r="B2" s="7"/>
      <x:c r="C2" s="7"/>
      <x:c r="D2" s="7"/>
      <x:c r="E2" s="7"/>
      <x:c r="F2" s="7"/>
      <x:c r="G2" s="7"/>
      <x:c r="H2" s="7"/>
      <x:c r="I2" s="7"/>
    </x:row>
    <x:row r="4" ht="30" customHeight="1">
      <x:c r="A4" s="34" t="str">
        <x:v>序号</x:v>
      </x:c>
      <x:c r="B4" s="34" t="str">
        <x:v>热棗/热句</x:v>
      </x:c>
      <x:c r="C4" s="34" t="str">
        <x:v>通俗解释</x:v>
      </x:c>
      <x:c r="D4" s="34" t="str">
        <x:v>为什么是现在</x:v>
      </x:c>
      <x:c r="E4" s="34" t="str">
        <x:v>品牌应用思路</x:v>
      </x:c>
      <x:c r="F4" s="34" t="str">
        <x:v>点赞快照</x:v>
      </x:c>
      <x:c r="G4" s="34" t="str">
        <x:v>原帖链接</x:v>
      </x:c>
      <x:c r="H4" s="34" t="str">
        <x:v>审核状态</x:v>
      </x:c>
      <x:c r="I4" s="34" t="str">
        <x:v>解读边界</x:v>
      </x:c>
    </x:row>
    <x:row r="5" ht="68" customHeight="1">
      <x:c r="A5" s="138" t="n">
        <x:v>1</x:v>
      </x:c>
      <x:c r="B5" s="42" t="str">
        <x:v>你要我好友位不</x:v>
      </x:c>
      <x:c r="C5" s="42" t="str">
        <x:v>用“好友位”表达想和对方建立更亲近关系，适合被改成赠饮、双人套餐或杯套互动。</x:v>
      </x:c>
      <x:c r="D5" s="42" t="str">
        <x:v>本期热点账号把它列入7日热梗清单；目前只验证到该账号收录，不代表全平台热度排名。</x:v>
      </x:c>
      <x:c r="E5" s="42" t="str">
        <x:v>把好友位做成可赠送的杯套、小程序卡位或双人套餐权益，先小范围测试语境。</x:v>
      </x:c>
      <x:c r="F5" s="138" t="n">
        <x:v>94</x:v>
      </x:c>
      <x:c r="G5" s="108" t="str">
        <x:v>https://www.xiaohongshu.com/explore/6a67fbb70000000011010c9a</x:v>
      </x:c>
      <x:c r="H5" s="108" t="str">
        <x:v>approved</x:v>
      </x:c>
      <x:c r="I5" s="42" t="str">
        <x:v>热点账号收录与互动快照只用于编辑选题，不进入品牌事实KPI，也不能替代全平台热度。</x:v>
      </x:c>
    </x:row>
    <x:row r="6" ht="68" customHeight="1">
      <x:c r="A6" s="139" t="n">
        <x:v>2</x:v>
      </x:c>
      <x:c r="B6" s="43" t="str">
        <x:v>大品牌给街边小店拍广告</x:v>
      </x:c>
      <x:c r="C6" s="43" t="str">
        <x:v>通过品牌帮助普通小店被看见，制造反差和人情味。</x:v>
      </x:c>
      <x:c r="D6" s="43" t="str">
        <x:v>热点账号以瑞幸与烧饼店案例进行传播，属于品牌案例型热点，不是通用网络梗。</x:v>
      </x:c>
      <x:c r="E6" s="43" t="str">
        <x:v>选择真实门店邻里或供应链人物共创，重点讲关系和细节，避免摆拍式公益。</x:v>
      </x:c>
      <x:c r="F6" s="139" t="n">
        <x:v>82</x:v>
      </x:c>
      <x:c r="G6" s="109" t="str">
        <x:v>https://www.xiaohongshu.com/explore/6a68dbdb0000000010029856</x:v>
      </x:c>
      <x:c r="H6" s="109" t="str">
        <x:v>approved</x:v>
      </x:c>
      <x:c r="I6" s="43" t="str">
        <x:v>热点账号收录与互动快照只用于编辑选题，不进入品牌事实KPI，也不能替代全平台热度。</x:v>
      </x:c>
    </x:row>
    <x:row r="7" ht="68" customHeight="1">
      <x:c r="A7" s="140" t="n">
        <x:v>3</x:v>
      </x:c>
      <x:c r="B7" s="44" t="str">
        <x:v>折学 / 折个鸡</x:v>
      </x:c>
      <x:c r="C7" s="44" t="str">
        <x:v>把“折”从一句谐音梗变成折纸、折叠或摆姿势等可模仿动作。</x:v>
      </x:c>
      <x:c r="D7" s="44" t="str">
        <x:v>本期热点账号将其列入近期热梗；梗的生命周期尚未有跨来源数据验证。</x:v>
      </x:c>
      <x:c r="E7" s="44" t="str">
        <x:v>可测试杯套折纸、包装开合或门店拍照姿势，让用户有一个简单动作可参与。</x:v>
      </x:c>
      <x:c r="F7" s="140" t="n">
        <x:v>38</x:v>
      </x:c>
      <x:c r="G7" s="110" t="str">
        <x:v>https://www.xiaohongshu.com/explore/6a6bfbbf0000000005023a18</x:v>
      </x:c>
      <x:c r="H7" s="110" t="str">
        <x:v>approved</x:v>
      </x:c>
      <x:c r="I7" s="44" t="str">
        <x:v>热点账号收录与互动快照只用于编辑选题，不进入品牌事实KPI，也不能替代全平台热度。</x:v>
      </x:c>
    </x:row>
  </x:sheetData>
  <x:mergeCells>
    <x:mergeCell ref="A1:I1"/>
    <x:mergeCell ref="A2:I2"/>
  </x:mergeCells>
  <x:conditionalFormatting sqref="H5:H7">
    <x:cfRule type="containsText" dxfId="12" priority="1" operator="containsText" text="approved"/>
    <x:cfRule type="containsText" dxfId="13" priority="2" operator="containsText" text="needs"/>
    <x:cfRule type="containsText" dxfId="14" priority="3" operator="containsText" text="provisional"/>
  </x:conditionalFormatting>
  <x:pageMargins left="0.7" right="0.7" top="0.75" bottom="0.75" header="0.3" footer="0.3"/>
  <x:tableParts count="1">
    <x:tablePart xmlns:r="http://schemas.openxmlformats.org/officeDocument/2006/relationships" r:id="R67ceb42a61674fe1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6" hidden="0" customWidth="1"/>
    <x:col min="3" max="3" width="19" hidden="0" customWidth="1"/>
    <x:col min="4" max="4" width="34" hidden="0" customWidth="1"/>
    <x:col min="5" max="5" width="34" hidden="0" customWidth="1"/>
    <x:col min="6" max="6" width="20" hidden="0" customWidth="1"/>
    <x:col min="7" max="7" width="44" hidden="0" customWidth="1"/>
    <x:col min="8" max="8" width="44" hidden="0" customWidth="1"/>
    <x:col min="9" max="9" width="13" hidden="0" customWidth="1"/>
    <x:col min="10" max="10" width="40" hidden="0" customWidth="1"/>
    <x:col min="11" max="11" width="18" hidden="0" customWidth="1"/>
  </x:cols>
  <x:sheetData>
    <x:row r="1" ht="36" customHeight="1">
      <x:c r="A1" s="3" t="str">
        <x:v>数据质量与人工复核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 ht="34" customHeight="1">
      <x:c r="A2" s="7" t="str">
        <x:v>所有未完成的事件、内容与关系复核保留在队列中；未复核的细标签不应直接用于强结论。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</x:row>
    <x:row r="4">
      <x:c r="A4" s="71" t="str">
        <x:v>事件复核完成率</x:v>
      </x:c>
      <x:c r="B4" s="72"/>
      <x:c r="C4" s="73"/>
      <x:c r="D4" s="71" t="str">
        <x:v>点赞完整率</x:v>
      </x:c>
      <x:c r="E4" s="72"/>
      <x:c r="F4" s="73"/>
      <x:c r="G4" s="71" t="str">
        <x:v>待复核事件</x:v>
      </x:c>
      <x:c r="H4" s="72"/>
      <x:c r="I4" s="73"/>
      <x:c r="J4" s="71" t="str">
        <x:v>快照最大时延</x:v>
      </x:c>
      <x:c r="K4" s="73"/>
    </x:row>
    <x:row r="5">
      <x:c r="A5" s="104" t="n">
        <x:f>'周度总表'!K5</x:f>
        <x:v>1</x:v>
      </x:c>
      <x:c r="B5" s="88"/>
      <x:c r="C5" s="89"/>
      <x:c r="D5" s="104" t="n">
        <x:f>IF(('周度总表'!L5+'周度总表'!M5)=0,"",'周度总表'!L5/('周度总表'!L5+'周度总表'!M5))</x:f>
        <x:v>1</x:v>
      </x:c>
      <x:c r="E5" s="88"/>
      <x:c r="F5" s="89"/>
      <x:c r="G5" s="93" t="n">
        <x:f>'周度总表'!S5</x:f>
        <x:v>0</x:v>
      </x:c>
      <x:c r="H5" s="88"/>
      <x:c r="I5" s="89"/>
      <x:c r="J5" s="173" t="n">
        <x:f>'周度总表'!R5</x:f>
        <x:v>155.7</x:v>
      </x:c>
      <x:c r="K5" s="89"/>
    </x:row>
    <x:row r="6">
      <x:c r="A6" s="90"/>
      <x:c r="B6" s="91"/>
      <x:c r="C6" s="92"/>
      <x:c r="D6" s="90"/>
      <x:c r="E6" s="91"/>
      <x:c r="F6" s="92"/>
      <x:c r="G6" s="90"/>
      <x:c r="H6" s="91"/>
      <x:c r="I6" s="92"/>
      <x:c r="J6" s="90"/>
      <x:c r="K6" s="92"/>
    </x:row>
    <x:row r="7">
      <x:c r="A7" s="101" t="str">
        <x:v>已审核事件/全部事件</x:v>
      </x:c>
      <x:c r="B7" s="102"/>
      <x:c r="C7" s="103"/>
      <x:c r="D7" s="101" t="str">
        <x:v>点赞有效N/全部品牌内容</x:v>
      </x:c>
      <x:c r="E7" s="102"/>
      <x:c r="F7" s="103"/>
      <x:c r="G7" s="101" t="str">
        <x:v>优先处理 high 优先级队列</x:v>
      </x:c>
      <x:c r="H7" s="102"/>
      <x:c r="I7" s="103"/>
      <x:c r="J7" s="101" t="str">
        <x:v>单位：小时；互动快照不等时</x:v>
      </x:c>
      <x:c r="K7" s="103"/>
    </x:row>
    <x:row r="10">
      <x:c r="A10" s="10" t="str">
        <x:v>质量门槛</x:v>
      </x:c>
      <x:c r="B10" s="10"/>
      <x:c r="C10" s="10"/>
      <x:c r="D10" s="10"/>
      <x:c r="E10" s="10"/>
    </x:row>
    <x:row r="11">
      <x:c r="A11" s="34" t="str">
        <x:v>核查项</x:v>
      </x:c>
      <x:c r="B11" s="34" t="str">
        <x:v>当前值</x:v>
      </x:c>
      <x:c r="C11" s="34" t="str">
        <x:v>目标/规则</x:v>
      </x:c>
      <x:c r="D11" s="34" t="str">
        <x:v>状态</x:v>
      </x:c>
      <x:c r="E11" s="34" t="str">
        <x:v>说明</x:v>
      </x:c>
    </x:row>
    <x:row r="12" ht="32" customHeight="1">
      <x:c r="A12" s="42" t="str">
        <x:v>点赞缺失数</x:v>
      </x:c>
      <x:c r="B12" s="42" t="n">
        <x:f>'周度总表'!M5</x:f>
        <x:v>0</x:v>
      </x:c>
      <x:c r="C12" s="42" t="n">
        <x:f>0</x:f>
        <x:v>0</x:v>
      </x:c>
      <x:c r="D12" s="42" t="str">
        <x:f>IF(B12=0,"通过","需处理")</x:f>
        <x:v>通过</x:v>
      </x:c>
      <x:c r="E12" s="42" t="str">
        <x:v>缺失值保持为空，不补 0</x:v>
      </x:c>
    </x:row>
    <x:row r="13" ht="32" customHeight="1">
      <x:c r="A13" s="43" t="str">
        <x:v>事件复核完成率</x:v>
      </x:c>
      <x:c r="B13" s="174" t="n">
        <x:f>'周度总表'!K5</x:f>
        <x:v>1</x:v>
      </x:c>
      <x:c r="C13" s="43" t="str">
        <x:v>&gt;=95%</x:v>
      </x:c>
      <x:c r="D13" s="43" t="str">
        <x:f>IF(B13&gt;=0.95,"通过","需关注")</x:f>
        <x:v>通过</x:v>
      </x:c>
      <x:c r="E13" s="43" t="str">
        <x:v>细标签强结论建议达到 95%</x:v>
      </x:c>
    </x:row>
    <x:row r="14" ht="32" customHeight="1">
      <x:c r="A14" s="43" t="str">
        <x:v>可比周期数</x:v>
      </x:c>
      <x:c r="B14" s="43" t="n">
        <x:f>'周度总表'!X5</x:f>
        <x:v>1</x:v>
      </x:c>
      <x:c r="C14" s="43" t="str">
        <x:v>&gt;=2 开启环比；&gt;=4 写趋势</x:v>
      </x:c>
      <x:c r="D14" s="43" t="str">
        <x:f>IF(B14&gt;=4,"趋势可用",IF(B14&gt;=2,"仅环比可用","未开启"))</x:f>
        <x:v>未开启</x:v>
      </x:c>
      <x:c r="E14" s="43" t="str">
        <x:v>当前不作环比或趋势结论</x:v>
      </x:c>
    </x:row>
    <x:row r="15" ht="32" customHeight="1">
      <x:c r="A15" s="44" t="str">
        <x:v>待复核关系</x:v>
      </x:c>
      <x:c r="B15" s="44" t="n">
        <x:f>'周度总表'!U5</x:f>
        <x:v>0</x:v>
      </x:c>
      <x:c r="C15" s="44" t="n">
        <x:f>0</x:f>
        <x:v>0</x:v>
      </x:c>
      <x:c r="D15" s="44" t="str">
        <x:f>IF(B15=0,"通过","需处理")</x:f>
        <x:v>通过</x:v>
      </x:c>
      <x:c r="E15" s="44" t="str">
        <x:v>关系影响实体、事件与标签归属</x:v>
      </x:c>
    </x:row>
    <x:row r="17">
      <x:c r="A17" s="47" t="str">
        <x:v>复核队列（0 条）</x:v>
      </x:c>
      <x:c r="B17" s="47"/>
      <x:c r="C17" s="47"/>
      <x:c r="D17" s="47"/>
      <x:c r="E17" s="47"/>
      <x:c r="F17" s="47"/>
      <x:c r="G17" s="47"/>
      <x:c r="H17" s="47"/>
      <x:c r="I17" s="47"/>
      <x:c r="J17" s="47"/>
      <x:c r="K17" s="47"/>
    </x:row>
    <x:row r="18">
      <x:c r="A18" s="51" t="str">
        <x:v>优先级</x:v>
      </x:c>
      <x:c r="B18" s="51" t="str">
        <x:v>复核类型</x:v>
      </x:c>
      <x:c r="C18" s="51" t="str">
        <x:v>来源表</x:v>
      </x:c>
      <x:c r="D18" s="51" t="str">
        <x:v>对象ID</x:v>
      </x:c>
      <x:c r="E18" s="51" t="str">
        <x:v>对象名称</x:v>
      </x:c>
      <x:c r="F18" s="51" t="str">
        <x:v>当前状态</x:v>
      </x:c>
      <x:c r="G18" s="51" t="str">
        <x:v>问题</x:v>
      </x:c>
      <x:c r="H18" s="51" t="str">
        <x:v>建议动作</x:v>
      </x:c>
      <x:c r="I18" s="51" t="str">
        <x:v>周期</x:v>
      </x:c>
      <x:c r="J18" s="51" t="str">
        <x:v>复核项ID</x:v>
      </x:c>
      <x:c r="K18" s="51" t="str">
        <x:v>规则版本</x:v>
      </x:c>
    </x:row>
    <x:row r="19" ht="38" customHeight="1">
      <x:c r="A19" s="183" t="str">
        <x:v>当前无待复核项；已决议的复核记录保留在 resolved_review_decisions.csv，不回填为待办。</x:v>
      </x:c>
      <x:c r="B19" s="184"/>
      <x:c r="C19" s="184"/>
      <x:c r="D19" s="184"/>
      <x:c r="E19" s="184"/>
      <x:c r="F19" s="184"/>
      <x:c r="G19" s="184"/>
      <x:c r="H19" s="184"/>
      <x:c r="I19" s="184"/>
      <x:c r="J19" s="184"/>
      <x:c r="K19" s="185"/>
    </x:row>
  </x:sheetData>
  <x:mergeCells>
    <x:mergeCell ref="A1:K1"/>
    <x:mergeCell ref="A2:K2"/>
    <x:mergeCell ref="A4:C4"/>
    <x:mergeCell ref="A5:C6"/>
    <x:mergeCell ref="A7:C7"/>
    <x:mergeCell ref="D4:F4"/>
    <x:mergeCell ref="D5:F6"/>
    <x:mergeCell ref="D7:F7"/>
    <x:mergeCell ref="G4:I4"/>
    <x:mergeCell ref="G5:I6"/>
    <x:mergeCell ref="G7:I7"/>
    <x:mergeCell ref="J4:K4"/>
    <x:mergeCell ref="J5:K6"/>
    <x:mergeCell ref="J7:K7"/>
    <x:mergeCell ref="A10:E10"/>
    <x:mergeCell ref="A17:K17"/>
    <x:mergeCell ref="A19:K19"/>
  </x:mergeCells>
  <x:conditionalFormatting sqref="D12:D15">
    <x:cfRule type="containsText" dxfId="15" priority="1" operator="containsText" text="通过"/>
    <x:cfRule type="containsText" dxfId="16" priority="2" operator="containsText" text="需"/>
    <x:cfRule type="containsText" dxfId="17" priority="3" operator="containsText" text="未开启"/>
  </x:conditionalFormatting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34" hidden="0" customWidth="1"/>
    <x:col min="3" max="3" width="12" hidden="0" customWidth="1"/>
    <x:col min="4" max="4" width="24" hidden="0" customWidth="1"/>
    <x:col min="5" max="5" width="32" hidden="0" customWidth="1"/>
    <x:col min="6" max="6" width="24" hidden="0" customWidth="1"/>
    <x:col min="7" max="7" width="75" hidden="0" customWidth="1"/>
  </x:cols>
  <x:sheetData>
    <x:row r="1" ht="36" customHeight="1">
      <x:c r="A1" s="3" t="str">
        <x:v>明细导航｜每张表在哪里、解决什么</x:v>
      </x:c>
      <x:c r="B1" s="3"/>
      <x:c r="C1" s="3"/>
      <x:c r="D1" s="3"/>
      <x:c r="E1" s="3"/>
      <x:c r="F1" s="3"/>
      <x:c r="G1" s="3"/>
    </x:row>
    <x:row r="2" ht="34" customHeight="1">
      <x:c r="A2" s="7" t="str">
        <x:v>工作簿只做阅读与复核入口；CSV/JSON 是机器可追溯的单一来源，不要在 Excel 中手工改写统计结果。</x:v>
      </x:c>
      <x:c r="B2" s="7"/>
      <x:c r="C2" s="7"/>
      <x:c r="D2" s="7"/>
      <x:c r="E2" s="7"/>
      <x:c r="F2" s="7"/>
      <x:c r="G2" s="7"/>
    </x:row>
    <x:row r="4" ht="30" customHeight="1">
      <x:c r="A4" s="34" t="str">
        <x:v>表名</x:v>
      </x:c>
      <x:c r="B4" s="34" t="str">
        <x:v>用途</x:v>
      </x:c>
      <x:c r="C4" s="34" t="str">
        <x:v>数据行数</x:v>
      </x:c>
      <x:c r="D4" s="34" t="str">
        <x:v>粒度</x:v>
      </x:c>
      <x:c r="E4" s="34" t="str">
        <x:v>主键/唯一键</x:v>
      </x:c>
      <x:c r="F4" s="34" t="str">
        <x:v>来源层</x:v>
      </x:c>
      <x:c r="G4" s="34" t="str">
        <x:v>文件位置</x:v>
      </x:c>
    </x:row>
    <x:row r="5" ht="38" customHeight="1">
      <x:c r="A5" s="108" t="str">
        <x:v>mart_weekly_overview</x:v>
      </x:c>
      <x:c r="B5" s="42" t="str">
        <x:v>周度官方总口径</x:v>
      </x:c>
      <x:c r="C5" s="138" t="n">
        <x:v>1</x:v>
      </x:c>
      <x:c r="D5" s="108" t="str">
        <x:v>周期</x:v>
      </x:c>
      <x:c r="E5" s="108" t="str">
        <x:v>period_id</x:v>
      </x:c>
      <x:c r="F5" s="108" t="str">
        <x:v>品牌事实层</x:v>
      </x:c>
      <x:c r="G5" s="42" t="str">
        <x:v>02_数据清洗/处理后数据/V1.2/周期快照/2026-W30/03_汇总指标/mart_weekly_overview.csv</x:v>
      </x:c>
    </x:row>
    <x:row r="6" ht="38" customHeight="1">
      <x:c r="A6" s="109" t="str">
        <x:v>mart_theme_metrics</x:v>
      </x:c>
      <x:c r="B6" s="43" t="str">
        <x:v>核心主题指标</x:v>
      </x:c>
      <x:c r="C6" s="139" t="n">
        <x:v>3</x:v>
      </x:c>
      <x:c r="D6" s="109" t="str">
        <x:v>周期×主题</x:v>
      </x:c>
      <x:c r="E6" s="109" t="str">
        <x:v>period_id+theme_id</x:v>
      </x:c>
      <x:c r="F6" s="109" t="str">
        <x:v>品牌事实层</x:v>
      </x:c>
      <x:c r="G6" s="43" t="str">
        <x:v>02_数据清洗/处理后数据/V1.2/周期快照/2026-W30/03_汇总指标/mart_theme_metrics.csv</x:v>
      </x:c>
    </x:row>
    <x:row r="7" ht="38" customHeight="1">
      <x:c r="A7" s="109" t="str">
        <x:v>mart_tag_metrics</x:v>
      </x:c>
      <x:c r="B7" s="43" t="str">
        <x:v>细标签指标</x:v>
      </x:c>
      <x:c r="C7" s="139" t="n">
        <x:v>25</x:v>
      </x:c>
      <x:c r="D7" s="109" t="str">
        <x:v>周期×标签</x:v>
      </x:c>
      <x:c r="E7" s="109" t="str">
        <x:v>period_id+tag_id</x:v>
      </x:c>
      <x:c r="F7" s="109" t="str">
        <x:v>品牌事实层</x:v>
      </x:c>
      <x:c r="G7" s="43" t="str">
        <x:v>02_数据清洗/处理后数据/V1.2/周期快照/2026-W30/03_汇总指标/mart_tag_metrics.csv</x:v>
      </x:c>
    </x:row>
    <x:row r="8" ht="38" customHeight="1">
      <x:c r="A8" s="109" t="str">
        <x:v>mart_product_category</x:v>
      </x:c>
      <x:c r="B8" s="43" t="str">
        <x:v>品类指标</x:v>
      </x:c>
      <x:c r="C8" s="139" t="n">
        <x:v>23</x:v>
      </x:c>
      <x:c r="D8" s="109" t="str">
        <x:v>周期×品类</x:v>
      </x:c>
      <x:c r="E8" s="109" t="str">
        <x:v>period_id+category_code</x:v>
      </x:c>
      <x:c r="F8" s="109" t="str">
        <x:v>品牌事实层</x:v>
      </x:c>
      <x:c r="G8" s="43" t="str">
        <x:v>02_数据清洗/处理后数据/V1.2/周期快照/2026-W30/03_汇总指标/mart_product_category.csv</x:v>
      </x:c>
    </x:row>
    <x:row r="9" ht="38" customHeight="1">
      <x:c r="A9" s="109" t="str">
        <x:v>mart_ingredient</x:v>
      </x:c>
      <x:c r="B9" s="43" t="str">
        <x:v>原料/产品元素指标</x:v>
      </x:c>
      <x:c r="C9" s="139" t="n">
        <x:v>16</x:v>
      </x:c>
      <x:c r="D9" s="109" t="str">
        <x:v>周期×实体</x:v>
      </x:c>
      <x:c r="E9" s="109" t="str">
        <x:v>period_id+entity_id</x:v>
      </x:c>
      <x:c r="F9" s="109" t="str">
        <x:v>品牌事实层</x:v>
      </x:c>
      <x:c r="G9" s="43" t="str">
        <x:v>02_数据清洗/处理后数据/V1.2/周期快照/2026-W30/03_汇总指标/mart_ingredient.csv</x:v>
      </x:c>
    </x:row>
    <x:row r="10" ht="38" customHeight="1">
      <x:c r="A10" s="109" t="str">
        <x:v>mart_collaboration</x:v>
      </x:c>
      <x:c r="B10" s="43" t="str">
        <x:v>联名方/IP指标</x:v>
      </x:c>
      <x:c r="C10" s="139" t="n">
        <x:v>8</x:v>
      </x:c>
      <x:c r="D10" s="109" t="str">
        <x:v>周期×实体</x:v>
      </x:c>
      <x:c r="E10" s="109" t="str">
        <x:v>period_id+entity_id</x:v>
      </x:c>
      <x:c r="F10" s="109" t="str">
        <x:v>品牌事实层</x:v>
      </x:c>
      <x:c r="G10" s="43" t="str">
        <x:v>02_数据清洗/处理后数据/V1.2/周期快照/2026-W30/03_汇总指标/mart_collaboration.csv</x:v>
      </x:c>
    </x:row>
    <x:row r="11" ht="38" customHeight="1">
      <x:c r="A11" s="109" t="str">
        <x:v>mart_promotion</x:v>
      </x:c>
      <x:c r="B11" s="43" t="str">
        <x:v>促销机制汇总</x:v>
      </x:c>
      <x:c r="C11" s="139" t="n">
        <x:v>6</x:v>
      </x:c>
      <x:c r="D11" s="109" t="str">
        <x:v>周期×来源层×机制</x:v>
      </x:c>
      <x:c r="E11" s="109" t="str">
        <x:v>period_id+source_class+promotion_type</x:v>
      </x:c>
      <x:c r="F11" s="109" t="str">
        <x:v>官方/发现层分开</x:v>
      </x:c>
      <x:c r="G11" s="43" t="str">
        <x:v>02_数据清洗/处理后数据/V1.2/周期快照/2026-W30/03_汇总指标/mart_promotion.csv</x:v>
      </x:c>
    </x:row>
    <x:row r="12" ht="38" customHeight="1">
      <x:c r="A12" s="109" t="str">
        <x:v>fact_promotion_offers</x:v>
      </x:c>
      <x:c r="B12" s="43" t="str">
        <x:v>逐条促销证据</x:v>
      </x:c>
      <x:c r="C12" s="139" t="n">
        <x:v>9</x:v>
      </x:c>
      <x:c r="D12" s="109" t="str">
        <x:v>促销证据</x:v>
      </x:c>
      <x:c r="E12" s="109" t="str">
        <x:v>promotion_id</x:v>
      </x:c>
      <x:c r="F12" s="109" t="str">
        <x:v>官方/发现层分开</x:v>
      </x:c>
      <x:c r="G12" s="43" t="str">
        <x:v>02_数据清洗/处理后数据/V1.2/周期快照/2026-W30/01_标准化明细/fact_promotion_offers.csv</x:v>
      </x:c>
    </x:row>
    <x:row r="13" ht="38" customHeight="1">
      <x:c r="A13" s="109" t="str">
        <x:v>mart_brand_metrics</x:v>
      </x:c>
      <x:c r="B13" s="43" t="str">
        <x:v>品牌指标</x:v>
      </x:c>
      <x:c r="C13" s="139" t="n">
        <x:v>9</x:v>
      </x:c>
      <x:c r="D13" s="109" t="str">
        <x:v>周期×品牌</x:v>
      </x:c>
      <x:c r="E13" s="109" t="str">
        <x:v>period_id+brand_id</x:v>
      </x:c>
      <x:c r="F13" s="109" t="str">
        <x:v>品牌事实层</x:v>
      </x:c>
      <x:c r="G13" s="43" t="str">
        <x:v>02_数据清洗/处理后数据/V1.2/周期快照/2026-W30/03_汇总指标/mart_brand_metrics.csv</x:v>
      </x:c>
    </x:row>
    <x:row r="14" ht="38" customHeight="1">
      <x:c r="A14" s="109" t="str">
        <x:v>mart_hotspot</x:v>
      </x:c>
      <x:c r="B14" s="43" t="str">
        <x:v>近 7 日编辑热点</x:v>
      </x:c>
      <x:c r="C14" s="139" t="n">
        <x:v>3</x:v>
      </x:c>
      <x:c r="D14" s="109" t="str">
        <x:v>周期×选题</x:v>
      </x:c>
      <x:c r="E14" s="109" t="str">
        <x:v>period_id+topic_id</x:v>
      </x:c>
      <x:c r="F14" s="109" t="str">
        <x:v>编辑参考层</x:v>
      </x:c>
      <x:c r="G14" s="43" t="str">
        <x:v>02_数据清洗/处理后数据/V1.2/周期快照/2026-W30/03_汇总指标/mart_hotspot.csv</x:v>
      </x:c>
    </x:row>
    <x:row r="15" ht="38" customHeight="1">
      <x:c r="A15" s="109" t="str">
        <x:v>analysis_insights</x:v>
      </x:c>
      <x:c r="B15" s="43" t="str">
        <x:v>分析结论与边界</x:v>
      </x:c>
      <x:c r="C15" s="139" t="n">
        <x:v>7</x:v>
      </x:c>
      <x:c r="D15" s="109" t="str">
        <x:v>周期×结论</x:v>
      </x:c>
      <x:c r="E15" s="109" t="str">
        <x:v>insight_id</x:v>
      </x:c>
      <x:c r="F15" s="109" t="str">
        <x:v>分析层</x:v>
      </x:c>
      <x:c r="G15" s="43" t="str">
        <x:v>02_数据清洗/处理后数据/V1.2/周期快照/2026-W30/04_分析结论/analysis_insights.csv</x:v>
      </x:c>
    </x:row>
    <x:row r="16" ht="38" customHeight="1">
      <x:c r="A16" s="109" t="str">
        <x:v>tag_review_queue</x:v>
      </x:c>
      <x:c r="B16" s="43" t="str">
        <x:v>待人工复核队列</x:v>
      </x:c>
      <x:c r="C16" s="139" t="n">
        <x:v>0</x:v>
      </x:c>
      <x:c r="D16" s="109" t="str">
        <x:v>复核项</x:v>
      </x:c>
      <x:c r="E16" s="109" t="str">
        <x:v>review_item_id</x:v>
      </x:c>
      <x:c r="F16" s="109" t="str">
        <x:v>质量层</x:v>
      </x:c>
      <x:c r="G16" s="43" t="str">
        <x:v>02_数据清洗/处理后数据/V1.2/周期快照/2026-W30/02_AI打标与人工复核/tag_review_queue.csv</x:v>
      </x:c>
    </x:row>
    <x:row r="17" ht="38" customHeight="1">
      <x:c r="A17" s="109" t="str">
        <x:v>字段字典_V1.2</x:v>
      </x:c>
      <x:c r="B17" s="43" t="str">
        <x:v>字段含义与校验</x:v>
      </x:c>
      <x:c r="C17" s="139" t="n">
        <x:v>30</x:v>
      </x:c>
      <x:c r="D17" s="109" t="str">
        <x:v>表×字段</x:v>
      </x:c>
      <x:c r="E17" s="109" t="str">
        <x:v>table_name+field_name</x:v>
      </x:c>
      <x:c r="F17" s="109" t="str">
        <x:v>治理层</x:v>
      </x:c>
      <x:c r="G17" s="43" t="str">
        <x:v>02_数据清洗/规则/01_字段字典/字段字典_V1.2.csv</x:v>
      </x:c>
    </x:row>
    <x:row r="18" ht="38" customHeight="1">
      <x:c r="A18" s="109" t="str">
        <x:v>指标字典_V1.2</x:v>
      </x:c>
      <x:c r="B18" s="43" t="str">
        <x:v>指标公式与解读</x:v>
      </x:c>
      <x:c r="C18" s="139" t="n">
        <x:v>20</x:v>
      </x:c>
      <x:c r="D18" s="109" t="str">
        <x:v>指标</x:v>
      </x:c>
      <x:c r="E18" s="109" t="str">
        <x:v>metric_id</x:v>
      </x:c>
      <x:c r="F18" s="109" t="str">
        <x:v>治理层</x:v>
      </x:c>
      <x:c r="G18" s="43" t="str">
        <x:v>02_数据清洗/规则/02_指标字典/指标字典_V1.2.csv</x:v>
      </x:c>
    </x:row>
    <x:row r="19" ht="38" customHeight="1">
      <x:c r="A19" s="110" t="str">
        <x:v>标签字典_V1.2</x:v>
      </x:c>
      <x:c r="B19" s="44" t="str">
        <x:v>标签定义、边界与版本</x:v>
      </x:c>
      <x:c r="C19" s="140" t="n">
        <x:v>54</x:v>
      </x:c>
      <x:c r="D19" s="110" t="str">
        <x:v>标签</x:v>
      </x:c>
      <x:c r="E19" s="110" t="str">
        <x:v>tag_id</x:v>
      </x:c>
      <x:c r="F19" s="110" t="str">
        <x:v>治理层</x:v>
      </x:c>
      <x:c r="G19" s="44" t="str">
        <x:v>02_数据清洗/规则/03_标签字典/标签字典_V1.2.csv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7ac256fa5f224dc3"/>
  </x:tableParts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30" hidden="0" customWidth="1"/>
    <x:col min="3" max="3" width="15" hidden="0" customWidth="1"/>
    <x:col min="4" max="4" width="9" hidden="0" customWidth="1"/>
    <x:col min="5" max="5" width="38" hidden="0" customWidth="1"/>
    <x:col min="6" max="6" width="36" hidden="0" customWidth="1"/>
    <x:col min="7" max="7" width="40" hidden="0" customWidth="1"/>
    <x:col min="8" max="8" width="20" hidden="0" customWidth="1"/>
  </x:cols>
  <x:sheetData>
    <x:row r="1" ht="36" customHeight="1">
      <x:c r="A1" s="3" t="str">
        <x:v>字段字典｜数型、血缘与校验规则</x:v>
      </x:c>
      <x:c r="B1" s="3"/>
      <x:c r="C1" s="3"/>
      <x:c r="D1" s="3"/>
      <x:c r="E1" s="3"/>
      <x:c r="F1" s="3"/>
      <x:c r="G1" s="3"/>
      <x:c r="H1" s="3"/>
    </x:row>
    <x:row r="2" ht="34" customHeight="1">
      <x:c r="A2" s="7" t="str">
        <x:v>新增或修改字段时，先更新本字典及版本，再修改生成脚本和页面。</x:v>
      </x:c>
      <x:c r="B2" s="7"/>
      <x:c r="C2" s="7"/>
      <x:c r="D2" s="7"/>
      <x:c r="E2" s="7"/>
      <x:c r="F2" s="7"/>
      <x:c r="G2" s="7"/>
      <x:c r="H2" s="7"/>
    </x:row>
    <x:row r="4" ht="30" customHeight="1">
      <x:c r="A4" s="34" t="str">
        <x:v>表名</x:v>
      </x:c>
      <x:c r="B4" s="34" t="str">
        <x:v>字段名</x:v>
      </x:c>
      <x:c r="C4" s="34" t="str">
        <x:v>数据类型</x:v>
      </x:c>
      <x:c r="D4" s="34" t="str">
        <x:v>必填</x:v>
      </x:c>
      <x:c r="E4" s="34" t="str">
        <x:v>字段含义</x:v>
      </x:c>
      <x:c r="F4" s="34" t="str">
        <x:v>数据血缘</x:v>
      </x:c>
      <x:c r="G4" s="34" t="str">
        <x:v>校验规则</x:v>
      </x:c>
      <x:c r="H4" s="34" t="str">
        <x:v>规则版本</x:v>
      </x:c>
    </x:row>
    <x:row r="5" ht="38" customHeight="1">
      <x:c r="A5" s="108" t="str">
        <x:v>dim_brands</x:v>
      </x:c>
      <x:c r="B5" s="108" t="str">
        <x:v>brand_id</x:v>
      </x:c>
      <x:c r="C5" s="108" t="str">
        <x:v>string</x:v>
      </x:c>
      <x:c r="D5" s="186" t="str">
        <x:v>Y</x:v>
      </x:c>
      <x:c r="E5" s="42" t="str">
        <x:v>品牌唯一ID</x:v>
      </x:c>
      <x:c r="F5" s="42" t="str">
        <x:v>V1.1 brands</x:v>
      </x:c>
      <x:c r="G5" s="42" t="str">
        <x:v>唯一且非空</x:v>
      </x:c>
      <x:c r="H5" s="108" t="str">
        <x:v>bi-tag-rule-v1.2</x:v>
      </x:c>
    </x:row>
    <x:row r="6" ht="38" customHeight="1">
      <x:c r="A6" s="109" t="str">
        <x:v>dim_brands</x:v>
      </x:c>
      <x:c r="B6" s="109" t="str">
        <x:v>brand_name</x:v>
      </x:c>
      <x:c r="C6" s="109" t="str">
        <x:v>string</x:v>
      </x:c>
      <x:c r="D6" s="187" t="str">
        <x:v>Y</x:v>
      </x:c>
      <x:c r="E6" s="43" t="str">
        <x:v>标准品牌名</x:v>
      </x:c>
      <x:c r="F6" s="43" t="str">
        <x:v>V1.1 brands</x:v>
      </x:c>
      <x:c r="G6" s="43" t="str">
        <x:v>非空</x:v>
      </x:c>
      <x:c r="H6" s="109" t="str">
        <x:v>bi-tag-rule-v1.2</x:v>
      </x:c>
    </x:row>
    <x:row r="7" ht="38" customHeight="1">
      <x:c r="A7" s="109" t="str">
        <x:v>dim_accounts</x:v>
      </x:c>
      <x:c r="B7" s="109" t="str">
        <x:v>account_key</x:v>
      </x:c>
      <x:c r="C7" s="109" t="str">
        <x:v>string</x:v>
      </x:c>
      <x:c r="D7" s="187" t="str">
        <x:v>Y</x:v>
      </x:c>
      <x:c r="E7" s="43" t="str">
        <x:v>跨来源唯一账号键</x:v>
      </x:c>
      <x:c r="F7" s="43" t="str">
        <x:v>品牌账号/来源登记/发现信号</x:v>
      </x:c>
      <x:c r="G7" s="43" t="str">
        <x:v>唯一且非空</x:v>
      </x:c>
      <x:c r="H7" s="109" t="str">
        <x:v>bi-tag-rule-v1.2</x:v>
      </x:c>
    </x:row>
    <x:row r="8" ht="38" customHeight="1">
      <x:c r="A8" s="109" t="str">
        <x:v>dim_accounts</x:v>
      </x:c>
      <x:c r="B8" s="109" t="str">
        <x:v>source_type_original</x:v>
      </x:c>
      <x:c r="C8" s="109" t="str">
        <x:v>enum</x:v>
      </x:c>
      <x:c r="D8" s="187" t="str">
        <x:v>Y</x:v>
      </x:c>
      <x:c r="E8" s="43" t="str">
        <x:v>来源登记时的原始类型</x:v>
      </x:c>
      <x:c r="F8" s="43" t="str">
        <x:v>source_registry</x:v>
      </x:c>
      <x:c r="G8" s="43" t="str">
        <x:v>不得被分析分类覆盖</x:v>
      </x:c>
      <x:c r="H8" s="109" t="str">
        <x:v>bi-tag-rule-v1.2</x:v>
      </x:c>
    </x:row>
    <x:row r="9" ht="38" customHeight="1">
      <x:c r="A9" s="109" t="str">
        <x:v>dim_accounts</x:v>
      </x:c>
      <x:c r="B9" s="109" t="str">
        <x:v>analysis_source_class</x:v>
      </x:c>
      <x:c r="C9" s="109" t="str">
        <x:v>enum</x:v>
      </x:c>
      <x:c r="D9" s="187" t="str">
        <x:v>Y</x:v>
      </x:c>
      <x:c r="E9" s="43" t="str">
        <x:v>分析层使用的 brand/third_party/koc/editorial 分类</x:v>
      </x:c>
      <x:c r="F9" s="43" t="str">
        <x:v>处理规则</x:v>
      </x:c>
      <x:c r="G9" s="43" t="str">
        <x:v>与原始类型并存</x:v>
      </x:c>
      <x:c r="H9" s="109" t="str">
        <x:v>bi-tag-rule-v1.2</x:v>
      </x:c>
    </x:row>
    <x:row r="10" ht="38" customHeight="1">
      <x:c r="A10" s="109" t="str">
        <x:v>dim_tags</x:v>
      </x:c>
      <x:c r="B10" s="109" t="str">
        <x:v>tag_id</x:v>
      </x:c>
      <x:c r="C10" s="109" t="str">
        <x:v>string</x:v>
      </x:c>
      <x:c r="D10" s="187" t="str">
        <x:v>Y</x:v>
      </x:c>
      <x:c r="E10" s="43" t="str">
        <x:v>正式标签唯一ID</x:v>
      </x:c>
      <x:c r="F10" s="43" t="str">
        <x:v>标签规则</x:v>
      </x:c>
      <x:c r="G10" s="43" t="str">
        <x:v>唯一且有版本</x:v>
      </x:c>
      <x:c r="H10" s="109" t="str">
        <x:v>bi-tag-rule-v1.2</x:v>
      </x:c>
    </x:row>
    <x:row r="11" ht="38" customHeight="1">
      <x:c r="A11" s="109" t="str">
        <x:v>dim_tags</x:v>
      </x:c>
      <x:c r="B11" s="109" t="str">
        <x:v>dimension</x:v>
      </x:c>
      <x:c r="C11" s="109" t="str">
        <x:v>enum</x:v>
      </x:c>
      <x:c r="D11" s="187" t="str">
        <x:v>Y</x:v>
      </x:c>
      <x:c r="E11" s="43" t="str">
        <x:v>标签所属维度</x:v>
      </x:c>
      <x:c r="F11" s="43" t="str">
        <x:v>标签规则</x:v>
      </x:c>
      <x:c r="G11" s="43" t="str">
        <x:v>十类标签维度之一</x:v>
      </x:c>
      <x:c r="H11" s="109" t="str">
        <x:v>bi-tag-rule-v1.2</x:v>
      </x:c>
    </x:row>
    <x:row r="12" ht="38" customHeight="1">
      <x:c r="A12" s="109" t="str">
        <x:v>dim_tags</x:v>
      </x:c>
      <x:c r="B12" s="109" t="str">
        <x:v>inclusion_rule</x:v>
      </x:c>
      <x:c r="C12" s="109" t="str">
        <x:v>string</x:v>
      </x:c>
      <x:c r="D12" s="187" t="str">
        <x:v>Y</x:v>
      </x:c>
      <x:c r="E12" s="43" t="str">
        <x:v>纳入条件</x:v>
      </x:c>
      <x:c r="F12" s="43" t="str">
        <x:v>标签规则</x:v>
      </x:c>
      <x:c r="G12" s="43" t="str">
        <x:v>可由人理解和复核</x:v>
      </x:c>
      <x:c r="H12" s="109" t="str">
        <x:v>bi-tag-rule-v1.2</x:v>
      </x:c>
    </x:row>
    <x:row r="13" ht="38" customHeight="1">
      <x:c r="A13" s="109" t="str">
        <x:v>dim_metrics</x:v>
      </x:c>
      <x:c r="B13" s="109" t="str">
        <x:v>metric_id</x:v>
      </x:c>
      <x:c r="C13" s="109" t="str">
        <x:v>string</x:v>
      </x:c>
      <x:c r="D13" s="187" t="str">
        <x:v>Y</x:v>
      </x:c>
      <x:c r="E13" s="43" t="str">
        <x:v>指标唯一ID</x:v>
      </x:c>
      <x:c r="F13" s="43" t="str">
        <x:v>指标规则</x:v>
      </x:c>
      <x:c r="G13" s="43" t="str">
        <x:v>唯一且有公式</x:v>
      </x:c>
      <x:c r="H13" s="109" t="str">
        <x:v>bi-tag-rule-v1.2</x:v>
      </x:c>
    </x:row>
    <x:row r="14" ht="38" customHeight="1">
      <x:c r="A14" s="109" t="str">
        <x:v>fact_contents</x:v>
      </x:c>
      <x:c r="B14" s="109" t="str">
        <x:v>content_id</x:v>
      </x:c>
      <x:c r="C14" s="109" t="str">
        <x:v>string</x:v>
      </x:c>
      <x:c r="D14" s="187" t="str">
        <x:v>Y</x:v>
      </x:c>
      <x:c r="E14" s="43" t="str">
        <x:v>品牌官号内容唯一ID</x:v>
      </x:c>
      <x:c r="F14" s="43" t="str">
        <x:v>V1.1 contents</x:v>
      </x:c>
      <x:c r="G14" s="43" t="str">
        <x:v>唯一且非空</x:v>
      </x:c>
      <x:c r="H14" s="109" t="str">
        <x:v>bi-tag-rule-v1.2</x:v>
      </x:c>
    </x:row>
    <x:row r="15" ht="38" customHeight="1">
      <x:c r="A15" s="109" t="str">
        <x:v>fact_contents</x:v>
      </x:c>
      <x:c r="B15" s="109" t="str">
        <x:v>canonical_url</x:v>
      </x:c>
      <x:c r="C15" s="109" t="str">
        <x:v>url</x:v>
      </x:c>
      <x:c r="D15" s="187" t="str">
        <x:v>Y</x:v>
      </x:c>
      <x:c r="E15" s="43" t="str">
        <x:v>无临时参数的原帖地址</x:v>
      </x:c>
      <x:c r="F15" s="43" t="str">
        <x:v>V1.1 contents.url</x:v>
      </x:c>
      <x:c r="G15" s="43" t="str">
        <x:v>仅保留稳定路径</x:v>
      </x:c>
      <x:c r="H15" s="109" t="str">
        <x:v>bi-tag-rule-v1.2</x:v>
      </x:c>
    </x:row>
    <x:row r="16" ht="38" customHeight="1">
      <x:c r="A16" s="109" t="str">
        <x:v>fact_contents</x:v>
      </x:c>
      <x:c r="B16" s="109" t="str">
        <x:v>source_class</x:v>
      </x:c>
      <x:c r="C16" s="109" t="str">
        <x:v>enum</x:v>
      </x:c>
      <x:c r="D16" s="187" t="str">
        <x:v>Y</x:v>
      </x:c>
      <x:c r="E16" s="43" t="str">
        <x:v>来源层</x:v>
      </x:c>
      <x:c r="F16" s="43" t="str">
        <x:v>V1.1 source_identity</x:v>
      </x:c>
      <x:c r="G16" s="43" t="str">
        <x:v>本表固定brand</x:v>
      </x:c>
      <x:c r="H16" s="109" t="str">
        <x:v>bi-tag-rule-v1.2</x:v>
      </x:c>
    </x:row>
    <x:row r="17" ht="38" customHeight="1">
      <x:c r="A17" s="109" t="str">
        <x:v>fact_contents</x:v>
      </x:c>
      <x:c r="B17" s="109" t="str">
        <x:v>captured_at</x:v>
      </x:c>
      <x:c r="C17" s="109" t="str">
        <x:v>datetime</x:v>
      </x:c>
      <x:c r="D17" s="187" t="str">
        <x:v>Y</x:v>
      </x:c>
      <x:c r="E17" s="43" t="str">
        <x:v>内容抓取时间</x:v>
      </x:c>
      <x:c r="F17" s="43" t="str">
        <x:v>V1.1 contents</x:v>
      </x:c>
      <x:c r="G17" s="43" t="str">
        <x:v>ISO时间</x:v>
      </x:c>
      <x:c r="H17" s="109" t="str">
        <x:v>bi-tag-rule-v1.2</x:v>
      </x:c>
    </x:row>
    <x:row r="18" ht="38" customHeight="1">
      <x:c r="A18" s="109" t="str">
        <x:v>fact_engagement_snapshots</x:v>
      </x:c>
      <x:c r="B18" s="109" t="str">
        <x:v>observation_id</x:v>
      </x:c>
      <x:c r="C18" s="109" t="str">
        <x:v>string</x:v>
      </x:c>
      <x:c r="D18" s="187" t="str">
        <x:v>Y</x:v>
      </x:c>
      <x:c r="E18" s="43" t="str">
        <x:v>互动快照唯一ID</x:v>
      </x:c>
      <x:c r="F18" s="43" t="str">
        <x:v>V1.1 observations</x:v>
      </x:c>
      <x:c r="G18" s="43" t="str">
        <x:v>唯一且非空</x:v>
      </x:c>
      <x:c r="H18" s="109" t="str">
        <x:v>bi-tag-rule-v1.2</x:v>
      </x:c>
    </x:row>
    <x:row r="19" ht="38" customHeight="1">
      <x:c r="A19" s="109" t="str">
        <x:v>fact_engagement_snapshots</x:v>
      </x:c>
      <x:c r="B19" s="109" t="str">
        <x:v>likes</x:v>
      </x:c>
      <x:c r="C19" s="109" t="str">
        <x:v>integer</x:v>
      </x:c>
      <x:c r="D19" s="187" t="str">
        <x:v>N</x:v>
      </x:c>
      <x:c r="E19" s="43" t="str">
        <x:v>抓取时点赞数</x:v>
      </x:c>
      <x:c r="F19" s="43" t="str">
        <x:v>V1.1 observations</x:v>
      </x:c>
      <x:c r="G19" s="43" t="str">
        <x:v>&gt;=0或空</x:v>
      </x:c>
      <x:c r="H19" s="109" t="str">
        <x:v>bi-tag-rule-v1.2</x:v>
      </x:c>
    </x:row>
    <x:row r="20" ht="38" customHeight="1">
      <x:c r="A20" s="109" t="str">
        <x:v>fact_engagement_snapshots</x:v>
      </x:c>
      <x:c r="B20" s="109" t="str">
        <x:v>snapshot_age_hours</x:v>
      </x:c>
      <x:c r="C20" s="109" t="str">
        <x:v>number</x:v>
      </x:c>
      <x:c r="D20" s="187" t="str">
        <x:v>N</x:v>
      </x:c>
      <x:c r="E20" s="43" t="str">
        <x:v>发布到抓取的小时差</x:v>
      </x:c>
      <x:c r="F20" s="43" t="str">
        <x:v>发布时间与抓取时间</x:v>
      </x:c>
      <x:c r="G20" s="43" t="str">
        <x:v>&gt;=0或空</x:v>
      </x:c>
      <x:c r="H20" s="109" t="str">
        <x:v>bi-tag-rule-v1.2</x:v>
      </x:c>
    </x:row>
    <x:row r="21" ht="38" customHeight="1">
      <x:c r="A21" s="109" t="str">
        <x:v>fact_events</x:v>
      </x:c>
      <x:c r="B21" s="109" t="str">
        <x:v>event_id</x:v>
      </x:c>
      <x:c r="C21" s="109" t="str">
        <x:v>string</x:v>
      </x:c>
      <x:c r="D21" s="187" t="str">
        <x:v>Y</x:v>
      </x:c>
      <x:c r="E21" s="43" t="str">
        <x:v>去重事件唯一ID</x:v>
      </x:c>
      <x:c r="F21" s="43" t="str">
        <x:v>V1.1 events</x:v>
      </x:c>
      <x:c r="G21" s="43" t="str">
        <x:v>唯一且非空</x:v>
      </x:c>
      <x:c r="H21" s="109" t="str">
        <x:v>bi-tag-rule-v1.2</x:v>
      </x:c>
    </x:row>
    <x:row r="22" ht="38" customHeight="1">
      <x:c r="A22" s="109" t="str">
        <x:v>fact_events</x:v>
      </x:c>
      <x:c r="B22" s="109" t="str">
        <x:v>tag_review_status</x:v>
      </x:c>
      <x:c r="C22" s="109" t="str">
        <x:v>enum</x:v>
      </x:c>
      <x:c r="D22" s="187" t="str">
        <x:v>Y</x:v>
      </x:c>
      <x:c r="E22" s="43" t="str">
        <x:v>事件标签复核状态</x:v>
      </x:c>
      <x:c r="F22" s="43" t="str">
        <x:v>V1.1 events</x:v>
      </x:c>
      <x:c r="G22" s="43" t="str">
        <x:v>待复核必须进入队列</x:v>
      </x:c>
      <x:c r="H22" s="109" t="str">
        <x:v>bi-tag-rule-v1.2</x:v>
      </x:c>
    </x:row>
    <x:row r="23" ht="38" customHeight="1">
      <x:c r="A23" s="109" t="str">
        <x:v>bridge_event_content</x:v>
      </x:c>
      <x:c r="B23" s="109" t="str">
        <x:v>event_content_key</x:v>
      </x:c>
      <x:c r="C23" s="109" t="str">
        <x:v>string</x:v>
      </x:c>
      <x:c r="D23" s="187" t="str">
        <x:v>Y</x:v>
      </x:c>
      <x:c r="E23" s="43" t="str">
        <x:v>事件和内容关联唯一键</x:v>
      </x:c>
      <x:c r="F23" s="43" t="str">
        <x:v>V1.1 events.content_ids</x:v>
      </x:c>
      <x:c r="G23" s="43" t="str">
        <x:v>组合唯一</x:v>
      </x:c>
      <x:c r="H23" s="109" t="str">
        <x:v>bi-tag-rule-v1.2</x:v>
      </x:c>
    </x:row>
    <x:row r="24" ht="38" customHeight="1">
      <x:c r="A24" s="109" t="str">
        <x:v>fact_tag_assignments</x:v>
      </x:c>
      <x:c r="B24" s="109" t="str">
        <x:v>assignment_id</x:v>
      </x:c>
      <x:c r="C24" s="109" t="str">
        <x:v>string</x:v>
      </x:c>
      <x:c r="D24" s="187" t="str">
        <x:v>Y</x:v>
      </x:c>
      <x:c r="E24" s="43" t="str">
        <x:v>对象标签判定唯一ID</x:v>
      </x:c>
      <x:c r="F24" s="43" t="str">
        <x:v>V1.1+V1.2规则</x:v>
      </x:c>
      <x:c r="G24" s="43" t="str">
        <x:v>唯一且可追溯</x:v>
      </x:c>
      <x:c r="H24" s="109" t="str">
        <x:v>bi-tag-rule-v1.2</x:v>
      </x:c>
    </x:row>
    <x:row r="25" ht="38" customHeight="1">
      <x:c r="A25" s="109" t="str">
        <x:v>fact_tag_assignments</x:v>
      </x:c>
      <x:c r="B25" s="109" t="str">
        <x:v>review_status</x:v>
      </x:c>
      <x:c r="C25" s="109" t="str">
        <x:v>enum</x:v>
      </x:c>
      <x:c r="D25" s="187" t="str">
        <x:v>Y</x:v>
      </x:c>
      <x:c r="E25" s="43" t="str">
        <x:v>标签判定审核状态</x:v>
      </x:c>
      <x:c r="F25" s="43" t="str">
        <x:v>处理规则</x:v>
      </x:c>
      <x:c r="G25" s="43" t="str">
        <x:v>仅approved进入正式口径</x:v>
      </x:c>
      <x:c r="H25" s="109" t="str">
        <x:v>bi-tag-rule-v1.2</x:v>
      </x:c>
    </x:row>
    <x:row r="26" ht="38" customHeight="1">
      <x:c r="A26" s="109" t="str">
        <x:v>fact_source_signals</x:v>
      </x:c>
      <x:c r="B26" s="109" t="str">
        <x:v>analysis_source_class</x:v>
      </x:c>
      <x:c r="C26" s="109" t="str">
        <x:v>enum</x:v>
      </x:c>
      <x:c r="D26" s="187" t="str">
        <x:v>Y</x:v>
      </x:c>
      <x:c r="E26" s="43" t="str">
        <x:v>三方或KOC分析分类</x:v>
      </x:c>
      <x:c r="F26" s="43" t="str">
        <x:v>source_signals</x:v>
      </x:c>
      <x:c r="G26" s="43" t="str">
        <x:v>不得进入品牌KPI</x:v>
      </x:c>
      <x:c r="H26" s="109" t="str">
        <x:v>bi-tag-rule-v1.2</x:v>
      </x:c>
    </x:row>
    <x:row r="27" ht="38" customHeight="1">
      <x:c r="A27" s="109" t="str">
        <x:v>fact_source_signals</x:v>
      </x:c>
      <x:c r="B27" s="109" t="str">
        <x:v>source_type_original</x:v>
      </x:c>
      <x:c r="C27" s="109" t="str">
        <x:v>string</x:v>
      </x:c>
      <x:c r="D27" s="187" t="str">
        <x:v>N</x:v>
      </x:c>
      <x:c r="E27" s="43" t="str">
        <x:v>来源登记原始类型</x:v>
      </x:c>
      <x:c r="F27" s="43" t="str">
        <x:v>source_registry</x:v>
      </x:c>
      <x:c r="G27" s="43" t="str">
        <x:v>缺失时标记unregistered</x:v>
      </x:c>
      <x:c r="H27" s="109" t="str">
        <x:v>bi-tag-rule-v1.2</x:v>
      </x:c>
    </x:row>
    <x:row r="28" ht="38" customHeight="1">
      <x:c r="A28" s="109" t="str">
        <x:v>fact_promotion_offers</x:v>
      </x:c>
      <x:c r="B28" s="109" t="str">
        <x:v>promotion_id</x:v>
      </x:c>
      <x:c r="C28" s="109" t="str">
        <x:v>string</x:v>
      </x:c>
      <x:c r="D28" s="187" t="str">
        <x:v>Y</x:v>
      </x:c>
      <x:c r="E28" s="43" t="str">
        <x:v>促销证据唯一ID</x:v>
      </x:c>
      <x:c r="F28" s="43" t="str">
        <x:v>正文/页面证据/发现信号</x:v>
      </x:c>
      <x:c r="G28" s="43" t="str">
        <x:v>唯一且非空</x:v>
      </x:c>
      <x:c r="H28" s="109" t="str">
        <x:v>bi-tag-rule-v1.2</x:v>
      </x:c>
    </x:row>
    <x:row r="29" ht="38" customHeight="1">
      <x:c r="A29" s="109" t="str">
        <x:v>fact_promotion_offers</x:v>
      </x:c>
      <x:c r="B29" s="109" t="str">
        <x:v>included_in_official_kpi</x:v>
      </x:c>
      <x:c r="C29" s="109" t="str">
        <x:v>boolean</x:v>
      </x:c>
      <x:c r="D29" s="187" t="str">
        <x:v>Y</x:v>
      </x:c>
      <x:c r="E29" s="43" t="str">
        <x:v>是否进入官方促销事实数</x:v>
      </x:c>
      <x:c r="F29" s="43" t="str">
        <x:v>来源分层规则</x:v>
      </x:c>
      <x:c r="G29" s="43" t="str">
        <x:v>只有官方明确证据为true</x:v>
      </x:c>
      <x:c r="H29" s="109" t="str">
        <x:v>bi-tag-rule-v1.2</x:v>
      </x:c>
    </x:row>
    <x:row r="30" ht="38" customHeight="1">
      <x:c r="A30" s="109" t="str">
        <x:v>mart_*</x:v>
      </x:c>
      <x:c r="B30" s="109" t="str">
        <x:v>likes_valid_count</x:v>
      </x:c>
      <x:c r="C30" s="109" t="str">
        <x:v>integer</x:v>
      </x:c>
      <x:c r="D30" s="187" t="str">
        <x:v>Y</x:v>
      </x:c>
      <x:c r="E30" s="43" t="str">
        <x:v>有效点赞样本N</x:v>
      </x:c>
      <x:c r="F30" s="43" t="str">
        <x:v>事实表重算</x:v>
      </x:c>
      <x:c r="G30" s="43" t="str">
        <x:v>&gt;=0</x:v>
      </x:c>
      <x:c r="H30" s="109" t="str">
        <x:v>bi-tag-rule-v1.2</x:v>
      </x:c>
    </x:row>
    <x:row r="31" ht="38" customHeight="1">
      <x:c r="A31" s="109" t="str">
        <x:v>mart_*</x:v>
      </x:c>
      <x:c r="B31" s="109" t="str">
        <x:v>likes_median</x:v>
      </x:c>
      <x:c r="C31" s="109" t="str">
        <x:v>number</x:v>
      </x:c>
      <x:c r="D31" s="187" t="str">
        <x:v>N</x:v>
      </x:c>
      <x:c r="E31" s="43" t="str">
        <x:v>点赞中位数</x:v>
      </x:c>
      <x:c r="F31" s="43" t="str">
        <x:v>事实表重算</x:v>
      </x:c>
      <x:c r="G31" s="43" t="str">
        <x:v>N=0时为空</x:v>
      </x:c>
      <x:c r="H31" s="109" t="str">
        <x:v>bi-tag-rule-v1.2</x:v>
      </x:c>
    </x:row>
    <x:row r="32" ht="38" customHeight="1">
      <x:c r="A32" s="109" t="str">
        <x:v>mart_*</x:v>
      </x:c>
      <x:c r="B32" s="109" t="str">
        <x:v>likes_p75</x:v>
      </x:c>
      <x:c r="C32" s="109" t="str">
        <x:v>number</x:v>
      </x:c>
      <x:c r="D32" s="187" t="str">
        <x:v>N</x:v>
      </x:c>
      <x:c r="E32" s="43" t="str">
        <x:v>点赞75分位数</x:v>
      </x:c>
      <x:c r="F32" s="43" t="str">
        <x:v>事实表重算</x:v>
      </x:c>
      <x:c r="G32" s="43" t="str">
        <x:v>N=0时为空</x:v>
      </x:c>
      <x:c r="H32" s="109" t="str">
        <x:v>bi-tag-rule-v1.2</x:v>
      </x:c>
    </x:row>
    <x:row r="33" ht="38" customHeight="1">
      <x:c r="A33" s="109" t="str">
        <x:v>mart_*</x:v>
      </x:c>
      <x:c r="B33" s="109" t="str">
        <x:v>sample_flag</x:v>
      </x:c>
      <x:c r="C33" s="109" t="str">
        <x:v>enum</x:v>
      </x:c>
      <x:c r="D33" s="187" t="str">
        <x:v>Y</x:v>
      </x:c>
      <x:c r="E33" s="43" t="str">
        <x:v>样本量提示</x:v>
      </x:c>
      <x:c r="F33" s="43" t="str">
        <x:v>N&lt;5规则</x:v>
      </x:c>
      <x:c r="G33" s="43" t="str">
        <x:v>small_sample或sufficient</x:v>
      </x:c>
      <x:c r="H33" s="109" t="str">
        <x:v>bi-tag-rule-v1.2</x:v>
      </x:c>
    </x:row>
    <x:row r="34" ht="38" customHeight="1">
      <x:c r="A34" s="110" t="str">
        <x:v>analysis_insights</x:v>
      </x:c>
      <x:c r="B34" s="110" t="str">
        <x:v>boundary_note</x:v>
      </x:c>
      <x:c r="C34" s="110" t="str">
        <x:v>string</x:v>
      </x:c>
      <x:c r="D34" s="188" t="str">
        <x:v>Y</x:v>
      </x:c>
      <x:c r="E34" s="44" t="str">
        <x:v>结论边界</x:v>
      </x:c>
      <x:c r="F34" s="44" t="str">
        <x:v>分析策略</x:v>
      </x:c>
      <x:c r="G34" s="44" t="str">
        <x:v>必须说明不能推断什么</x:v>
      </x:c>
      <x:c r="H34" s="110" t="str">
        <x:v>bi-tag-rule-v1.2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59c69a9656a7441f"/>
  </x:tableParts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26" hidden="0" customWidth="1"/>
    <x:col min="3" max="3" width="48" hidden="0" customWidth="1"/>
    <x:col min="4" max="4" width="22" hidden="0" customWidth="1"/>
    <x:col min="5" max="5" width="22" hidden="0" customWidth="1"/>
    <x:col min="6" max="6" width="16" hidden="0" customWidth="1"/>
    <x:col min="7" max="7" width="50" hidden="0" customWidth="1"/>
    <x:col min="8" max="8" width="20" hidden="0" customWidth="1"/>
  </x:cols>
  <x:sheetData>
    <x:row r="1" ht="36" customHeight="1">
      <x:c r="A1" s="3" t="str">
        <x:v>指标字典｜公式、粒度与解读边界</x:v>
      </x:c>
      <x:c r="B1" s="3"/>
      <x:c r="C1" s="3"/>
      <x:c r="D1" s="3"/>
      <x:c r="E1" s="3"/>
      <x:c r="F1" s="3"/>
      <x:c r="G1" s="3"/>
      <x:c r="H1" s="3"/>
    </x:row>
    <x:row r="2" ht="34" customHeight="1">
      <x:c r="A2" s="7" t="str">
        <x:v>指标必须有稳定 ID、口径、来源层和版本；模型只负责判断与写作，不负责计算指标。</x:v>
      </x:c>
      <x:c r="B2" s="7"/>
      <x:c r="C2" s="7"/>
      <x:c r="D2" s="7"/>
      <x:c r="E2" s="7"/>
      <x:c r="F2" s="7"/>
      <x:c r="G2" s="7"/>
      <x:c r="H2" s="7"/>
    </x:row>
    <x:row r="4" ht="30" customHeight="1">
      <x:c r="A4" s="34" t="str">
        <x:v>指标ID</x:v>
      </x:c>
      <x:c r="B4" s="34" t="str">
        <x:v>指标名</x:v>
      </x:c>
      <x:c r="C4" s="34" t="str">
        <x:v>公式</x:v>
      </x:c>
      <x:c r="D4" s="34" t="str">
        <x:v>粒度</x:v>
      </x:c>
      <x:c r="E4" s="34" t="str">
        <x:v>来源范围</x:v>
      </x:c>
      <x:c r="F4" s="34" t="str">
        <x:v>指标角色</x:v>
      </x:c>
      <x:c r="G4" s="34" t="str">
        <x:v>解读规则</x:v>
      </x:c>
      <x:c r="H4" s="34" t="str">
        <x:v>版本</x:v>
      </x:c>
    </x:row>
    <x:row r="5" ht="38" customHeight="1">
      <x:c r="A5" s="108" t="str">
        <x:v>unique_event_count</x:v>
      </x:c>
      <x:c r="B5" s="108" t="str">
        <x:v>去重事件数</x:v>
      </x:c>
      <x:c r="C5" s="42" t="str">
        <x:v>count_distinct(event_id)</x:v>
      </x:c>
      <x:c r="D5" s="108" t="str">
        <x:v>period</x:v>
      </x:c>
      <x:c r="E5" s="108" t="str">
        <x:v>brand</x:v>
      </x:c>
      <x:c r="F5" s="108" t="str">
        <x:v>主指标</x:v>
      </x:c>
      <x:c r="G5" s="42" t="str">
        <x:v>主题重叠时不得相加</x:v>
      </x:c>
      <x:c r="H5" s="108" t="str">
        <x:v>bi-metric-v1.2</x:v>
      </x:c>
    </x:row>
    <x:row r="6" ht="38" customHeight="1">
      <x:c r="A6" s="109" t="str">
        <x:v>brand_content_count</x:v>
      </x:c>
      <x:c r="B6" s="109" t="str">
        <x:v>品牌内容数</x:v>
      </x:c>
      <x:c r="C6" s="43" t="str">
        <x:v>count_distinct(content_id)</x:v>
      </x:c>
      <x:c r="D6" s="109" t="str">
        <x:v>period</x:v>
      </x:c>
      <x:c r="E6" s="109" t="str">
        <x:v>brand</x:v>
      </x:c>
      <x:c r="F6" s="109" t="str">
        <x:v>主指标</x:v>
      </x:c>
      <x:c r="G6" s="43" t="str">
        <x:v>不含三方/KOC</x:v>
      </x:c>
      <x:c r="H6" s="109" t="str">
        <x:v>bi-metric-v1.2</x:v>
      </x:c>
    </x:row>
    <x:row r="7" ht="38" customHeight="1">
      <x:c r="A7" s="109" t="str">
        <x:v>active_brand_count</x:v>
      </x:c>
      <x:c r="B7" s="109" t="str">
        <x:v>活跃品牌数</x:v>
      </x:c>
      <x:c r="C7" s="43" t="str">
        <x:v>count_distinct(brand_id)</x:v>
      </x:c>
      <x:c r="D7" s="109" t="str">
        <x:v>period</x:v>
      </x:c>
      <x:c r="E7" s="109" t="str">
        <x:v>brand</x:v>
      </x:c>
      <x:c r="F7" s="109" t="str">
        <x:v>主指标</x:v>
      </x:c>
      <x:c r="G7" s="43" t="str">
        <x:v>至少一条合格内容</x:v>
      </x:c>
      <x:c r="H7" s="109" t="str">
        <x:v>bi-metric-v1.2</x:v>
      </x:c>
    </x:row>
    <x:row r="8" ht="38" customHeight="1">
      <x:c r="A8" s="109" t="str">
        <x:v>likes_valid_count</x:v>
      </x:c>
      <x:c r="B8" s="109" t="str">
        <x:v>有效点赞样本N</x:v>
      </x:c>
      <x:c r="C8" s="43" t="str">
        <x:v>count(likes where likes&gt;=0)</x:v>
      </x:c>
      <x:c r="D8" s="109" t="str">
        <x:v>任意分组</x:v>
      </x:c>
      <x:c r="E8" s="109" t="str">
        <x:v>brand</x:v>
      </x:c>
      <x:c r="F8" s="109" t="str">
        <x:v>主指标</x:v>
      </x:c>
      <x:c r="G8" s="43" t="str">
        <x:v>必须与分位数同显</x:v>
      </x:c>
      <x:c r="H8" s="109" t="str">
        <x:v>bi-metric-v1.2</x:v>
      </x:c>
    </x:row>
    <x:row r="9" ht="38" customHeight="1">
      <x:c r="A9" s="109" t="str">
        <x:v>likes_sum</x:v>
      </x:c>
      <x:c r="B9" s="109" t="str">
        <x:v>点赞合计</x:v>
      </x:c>
      <x:c r="C9" s="43" t="str">
        <x:v>sum(likes)</x:v>
      </x:c>
      <x:c r="D9" s="109" t="str">
        <x:v>任意分组</x:v>
      </x:c>
      <x:c r="E9" s="109" t="str">
        <x:v>brand</x:v>
      </x:c>
      <x:c r="F9" s="109" t="str">
        <x:v>辅助指标</x:v>
      </x:c>
      <x:c r="G9" s="43" t="str">
        <x:v>不可替代覆盖</x:v>
      </x:c>
      <x:c r="H9" s="109" t="str">
        <x:v>bi-metric-v1.2</x:v>
      </x:c>
    </x:row>
    <x:row r="10" ht="38" customHeight="1">
      <x:c r="A10" s="109" t="str">
        <x:v>likes_mean</x:v>
      </x:c>
      <x:c r="B10" s="109" t="str">
        <x:v>点赞均值</x:v>
      </x:c>
      <x:c r="C10" s="43" t="str">
        <x:v>sum(likes)/N</x:v>
      </x:c>
      <x:c r="D10" s="109" t="str">
        <x:v>任意分组</x:v>
      </x:c>
      <x:c r="E10" s="109" t="str">
        <x:v>brand</x:v>
      </x:c>
      <x:c r="F10" s="109" t="str">
        <x:v>辅助指标</x:v>
      </x:c>
      <x:c r="G10" s="43" t="str">
        <x:v>受极端值影响</x:v>
      </x:c>
      <x:c r="H10" s="109" t="str">
        <x:v>bi-metric-v1.2</x:v>
      </x:c>
    </x:row>
    <x:row r="11" ht="38" customHeight="1">
      <x:c r="A11" s="109" t="str">
        <x:v>likes_median</x:v>
      </x:c>
      <x:c r="B11" s="109" t="str">
        <x:v>点赞中位数</x:v>
      </x:c>
      <x:c r="C11" s="43" t="str">
        <x:v>quantile(likes,0.50)</x:v>
      </x:c>
      <x:c r="D11" s="109" t="str">
        <x:v>任意分组</x:v>
      </x:c>
      <x:c r="E11" s="109" t="str">
        <x:v>brand</x:v>
      </x:c>
      <x:c r="F11" s="109" t="str">
        <x:v>主指标</x:v>
      </x:c>
      <x:c r="G11" s="43" t="str">
        <x:v>线性插值</x:v>
      </x:c>
      <x:c r="H11" s="109" t="str">
        <x:v>bi-metric-v1.2</x:v>
      </x:c>
    </x:row>
    <x:row r="12" ht="38" customHeight="1">
      <x:c r="A12" s="109" t="str">
        <x:v>likes_p75</x:v>
      </x:c>
      <x:c r="B12" s="109" t="str">
        <x:v>点赞P75</x:v>
      </x:c>
      <x:c r="C12" s="43" t="str">
        <x:v>quantile(likes,0.75)</x:v>
      </x:c>
      <x:c r="D12" s="109" t="str">
        <x:v>任意分组</x:v>
      </x:c>
      <x:c r="E12" s="109" t="str">
        <x:v>brand</x:v>
      </x:c>
      <x:c r="F12" s="109" t="str">
        <x:v>主指标</x:v>
      </x:c>
      <x:c r="G12" s="43" t="str">
        <x:v>线性插值</x:v>
      </x:c>
      <x:c r="H12" s="109" t="str">
        <x:v>bi-metric-v1.2</x:v>
      </x:c>
    </x:row>
    <x:row r="13" ht="38" customHeight="1">
      <x:c r="A13" s="109" t="str">
        <x:v>likes_p90</x:v>
      </x:c>
      <x:c r="B13" s="109" t="str">
        <x:v>点赞P90</x:v>
      </x:c>
      <x:c r="C13" s="43" t="str">
        <x:v>quantile(likes,0.90)</x:v>
      </x:c>
      <x:c r="D13" s="109" t="str">
        <x:v>任意分组</x:v>
      </x:c>
      <x:c r="E13" s="109" t="str">
        <x:v>brand</x:v>
      </x:c>
      <x:c r="F13" s="109" t="str">
        <x:v>诊断指标</x:v>
      </x:c>
      <x:c r="G13" s="43" t="str">
        <x:v>极高互动观察线</x:v>
      </x:c>
      <x:c r="H13" s="109" t="str">
        <x:v>bi-metric-v1.2</x:v>
      </x:c>
    </x:row>
    <x:row r="14" ht="38" customHeight="1">
      <x:c r="A14" s="109" t="str">
        <x:v>likes_max</x:v>
      </x:c>
      <x:c r="B14" s="109" t="str">
        <x:v>点赞最大值</x:v>
      </x:c>
      <x:c r="C14" s="43" t="str">
        <x:v>max(likes)</x:v>
      </x:c>
      <x:c r="D14" s="109" t="str">
        <x:v>任意分组</x:v>
      </x:c>
      <x:c r="E14" s="109" t="str">
        <x:v>brand</x:v>
      </x:c>
      <x:c r="F14" s="109" t="str">
        <x:v>诊断指标</x:v>
      </x:c>
      <x:c r="G14" s="43" t="str">
        <x:v>需配N和中位数</x:v>
      </x:c>
      <x:c r="H14" s="109" t="str">
        <x:v>bi-metric-v1.2</x:v>
      </x:c>
    </x:row>
    <x:row r="15" ht="38" customHeight="1">
      <x:c r="A15" s="109" t="str">
        <x:v>theme_membership_count</x:v>
      </x:c>
      <x:c r="B15" s="109" t="str">
        <x:v>主题归属次数</x:v>
      </x:c>
      <x:c r="C15" s="43" t="str">
        <x:v>sum(theme assignments)</x:v>
      </x:c>
      <x:c r="D15" s="109" t="str">
        <x:v>period</x:v>
      </x:c>
      <x:c r="E15" s="109" t="str">
        <x:v>brand</x:v>
      </x:c>
      <x:c r="F15" s="109" t="str">
        <x:v>结构指标</x:v>
      </x:c>
      <x:c r="G15" s="43" t="str">
        <x:v>主题允许重叠</x:v>
      </x:c>
      <x:c r="H15" s="109" t="str">
        <x:v>bi-metric-v1.2</x:v>
      </x:c>
    </x:row>
    <x:row r="16" ht="38" customHeight="1">
      <x:c r="A16" s="109" t="str">
        <x:v>theme_union_event_count</x:v>
      </x:c>
      <x:c r="B16" s="109" t="str">
        <x:v>主题并集事件数</x:v>
      </x:c>
      <x:c r="C16" s="43" t="str">
        <x:v>count_distinct(event_id in themes)</x:v>
      </x:c>
      <x:c r="D16" s="109" t="str">
        <x:v>period</x:v>
      </x:c>
      <x:c r="E16" s="109" t="str">
        <x:v>brand</x:v>
      </x:c>
      <x:c r="F16" s="109" t="str">
        <x:v>结构指标</x:v>
      </x:c>
      <x:c r="G16" s="43" t="str">
        <x:v>不得用归属次数替代</x:v>
      </x:c>
      <x:c r="H16" s="109" t="str">
        <x:v>bi-metric-v1.2</x:v>
      </x:c>
    </x:row>
    <x:row r="17" ht="38" customHeight="1">
      <x:c r="A17" s="109" t="str">
        <x:v>review_completion_rate</x:v>
      </x:c>
      <x:c r="B17" s="109" t="str">
        <x:v>事件标签复核完成率</x:v>
      </x:c>
      <x:c r="C17" s="43" t="str">
        <x:v>approved_events/all_events</x:v>
      </x:c>
      <x:c r="D17" s="109" t="str">
        <x:v>period</x:v>
      </x:c>
      <x:c r="E17" s="109" t="str">
        <x:v>brand</x:v>
      </x:c>
      <x:c r="F17" s="109" t="str">
        <x:v>质量指标</x:v>
      </x:c>
      <x:c r="G17" s="43" t="str">
        <x:v>只表示流程状态</x:v>
      </x:c>
      <x:c r="H17" s="109" t="str">
        <x:v>bi-metric-v1.2</x:v>
      </x:c>
    </x:row>
    <x:row r="18" ht="38" customHeight="1">
      <x:c r="A18" s="109" t="str">
        <x:v>snapshot_age_hours</x:v>
      </x:c>
      <x:c r="B18" s="109" t="str">
        <x:v>互动快照龄</x:v>
      </x:c>
      <x:c r="C18" s="43" t="str">
        <x:v>captured_at-published_at</x:v>
      </x:c>
      <x:c r="D18" s="109" t="str">
        <x:v>content</x:v>
      </x:c>
      <x:c r="E18" s="109" t="str">
        <x:v>brand</x:v>
      </x:c>
      <x:c r="F18" s="109" t="str">
        <x:v>可比性指标</x:v>
      </x:c>
      <x:c r="G18" s="43" t="str">
        <x:v>小时</x:v>
      </x:c>
      <x:c r="H18" s="109" t="str">
        <x:v>bi-metric-v1.2</x:v>
      </x:c>
    </x:row>
    <x:row r="19" ht="38" customHeight="1">
      <x:c r="A19" s="109" t="str">
        <x:v>source_layer_contamination_count</x:v>
      </x:c>
      <x:c r="B19" s="109" t="str">
        <x:v>来源混算数</x:v>
      </x:c>
      <x:c r="C19" s="43" t="str">
        <x:v>非brand记录进入品牌KPI的行数</x:v>
      </x:c>
      <x:c r="D19" s="109" t="str">
        <x:v>period</x:v>
      </x:c>
      <x:c r="E19" s="109" t="str">
        <x:v>all</x:v>
      </x:c>
      <x:c r="F19" s="109" t="str">
        <x:v>质量指标</x:v>
      </x:c>
      <x:c r="G19" s="43" t="str">
        <x:v>目标0</x:v>
      </x:c>
      <x:c r="H19" s="109" t="str">
        <x:v>bi-metric-v1.2</x:v>
      </x:c>
    </x:row>
    <x:row r="20" ht="38" customHeight="1">
      <x:c r="A20" s="109" t="str">
        <x:v>direct_url_parameter_count</x:v>
      </x:c>
      <x:c r="B20" s="109" t="str">
        <x:v>临时链接参数数</x:v>
      </x:c>
      <x:c r="C20" s="43" t="str">
        <x:v>count(url with xsec/m_source)</x:v>
      </x:c>
      <x:c r="D20" s="109" t="str">
        <x:v>output</x:v>
      </x:c>
      <x:c r="E20" s="109" t="str">
        <x:v>all</x:v>
      </x:c>
      <x:c r="F20" s="109" t="str">
        <x:v>质量指标</x:v>
      </x:c>
      <x:c r="G20" s="43" t="str">
        <x:v>公开输出目标0</x:v>
      </x:c>
      <x:c r="H20" s="109" t="str">
        <x:v>bi-metric-v1.2</x:v>
      </x:c>
    </x:row>
    <x:row r="21" ht="38" customHeight="1">
      <x:c r="A21" s="109" t="str">
        <x:v>promotion_official_count</x:v>
      </x:c>
      <x:c r="B21" s="109" t="str">
        <x:v>官方促销机制数</x:v>
      </x:c>
      <x:c r="C21" s="43" t="str">
        <x:v>count(approved offer where official=true)</x:v>
      </x:c>
      <x:c r="D21" s="109" t="str">
        <x:v>period</x:v>
      </x:c>
      <x:c r="E21" s="109" t="str">
        <x:v>brand</x:v>
      </x:c>
      <x:c r="F21" s="109" t="str">
        <x:v>诊断指标</x:v>
      </x:c>
      <x:c r="G21" s="43" t="str">
        <x:v>按机制去重</x:v>
      </x:c>
      <x:c r="H21" s="109" t="str">
        <x:v>bi-metric-v1.2</x:v>
      </x:c>
    </x:row>
    <x:row r="22" ht="38" customHeight="1">
      <x:c r="A22" s="109" t="str">
        <x:v>discovery_signal_count</x:v>
      </x:c>
      <x:c r="B22" s="109" t="str">
        <x:v>发现线索数</x:v>
      </x:c>
      <x:c r="C22" s="43" t="str">
        <x:v>count(signal_id)</x:v>
      </x:c>
      <x:c r="D22" s="109" t="str">
        <x:v>period</x:v>
      </x:c>
      <x:c r="E22" s="109" t="str">
        <x:v>third_party/koc</x:v>
      </x:c>
      <x:c r="F22" s="109" t="str">
        <x:v>诊断指标</x:v>
      </x:c>
      <x:c r="G22" s="43" t="str">
        <x:v>计量单位为帖子</x:v>
      </x:c>
      <x:c r="H22" s="109" t="str">
        <x:v>bi-metric-v1.2</x:v>
      </x:c>
    </x:row>
    <x:row r="23" ht="38" customHeight="1">
      <x:c r="A23" s="109" t="str">
        <x:v>wow_change</x:v>
      </x:c>
      <x:c r="B23" s="109" t="str">
        <x:v>周环比</x:v>
      </x:c>
      <x:c r="C23" s="43" t="str">
        <x:v>current/previous-1</x:v>
      </x:c>
      <x:c r="D23" s="109" t="str">
        <x:v>period</x:v>
      </x:c>
      <x:c r="E23" s="109" t="str">
        <x:v>same source</x:v>
      </x:c>
      <x:c r="F23" s="109" t="str">
        <x:v>趋势指标</x:v>
      </x:c>
      <x:c r="G23" s="43" t="str">
        <x:v>至少2个同口径周期</x:v>
      </x:c>
      <x:c r="H23" s="109" t="str">
        <x:v>bi-metric-v1.2</x:v>
      </x:c>
    </x:row>
    <x:row r="24" ht="38" customHeight="1">
      <x:c r="A24" s="110" t="str">
        <x:v>trend_status</x:v>
      </x:c>
      <x:c r="B24" s="110" t="str">
        <x:v>趋势判断</x:v>
      </x:c>
      <x:c r="C24" s="44" t="str">
        <x:v>rule based on &gt;=4 comparable periods</x:v>
      </x:c>
      <x:c r="D24" s="110" t="str">
        <x:v>period</x:v>
      </x:c>
      <x:c r="E24" s="110" t="str">
        <x:v>same source</x:v>
      </x:c>
      <x:c r="F24" s="110" t="str">
        <x:v>趋势指标</x:v>
      </x:c>
      <x:c r="G24" s="44" t="str">
        <x:v>当前周期禁用</x:v>
      </x:c>
      <x:c r="H24" s="110" t="str">
        <x:v>bi-metric-v1.2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5f93c06ad87d4b3a"/>
  </x:tableParts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6" hidden="0" customWidth="1"/>
    <x:col min="3" max="3" width="18" hidden="0" customWidth="1"/>
    <x:col min="4" max="4" width="30" hidden="0" customWidth="1"/>
    <x:col min="5" max="5" width="42" hidden="0" customWidth="1"/>
    <x:col min="6" max="6" width="46" hidden="0" customWidth="1"/>
    <x:col min="7" max="7" width="46" hidden="0" customWidth="1"/>
    <x:col min="8" max="8" width="36" hidden="0" customWidth="1"/>
    <x:col min="9" max="9" width="36" hidden="0" customWidth="1"/>
    <x:col min="10" max="10" width="15" hidden="0" customWidth="1"/>
    <x:col min="11" max="11" width="18" hidden="0" customWidth="1"/>
    <x:col min="12" max="12" width="13" hidden="0" customWidth="1"/>
    <x:col min="13" max="13" width="34" hidden="0" customWidth="1"/>
    <x:col min="14" max="14" width="24" hidden="0" customWidth="1"/>
    <x:col min="15" max="15" width="13" hidden="0" customWidth="1"/>
    <x:col min="16" max="16" width="20" hidden="0" customWidth="1"/>
    <x:col min="17" max="17" width="15" hidden="0" customWidth="1"/>
    <x:col min="18" max="18" width="42" hidden="0" customWidth="1"/>
  </x:cols>
  <x:sheetData>
    <x:row r="1" ht="36" customHeight="1">
      <x:c r="A1" s="3" t="str">
        <x:v>标签字典｜定义、包含/排除与复核门槛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</x:row>
    <x:row r="2" ht="34" customHeight="1">
      <x:c r="A2" s="7" t="str">
        <x:v>模型产出的标签只是建议；达到置信门槛并经人工复核后，才能进入正式 BI 指标。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</x:row>
    <x:row r="4" ht="30" customHeight="1">
      <x:c r="A4" s="34" t="str">
        <x:v>标签ID</x:v>
      </x:c>
      <x:c r="B4" s="34" t="str">
        <x:v>标签名</x:v>
      </x:c>
      <x:c r="C4" s="34" t="str">
        <x:v>标签维度</x:v>
      </x:c>
      <x:c r="D4" s="34" t="str">
        <x:v>父标签ID</x:v>
      </x:c>
      <x:c r="E4" s="34" t="str">
        <x:v>定义</x:v>
      </x:c>
      <x:c r="F4" s="34" t="str">
        <x:v>包含规则</x:v>
      </x:c>
      <x:c r="G4" s="34" t="str">
        <x:v>排除规则</x:v>
      </x:c>
      <x:c r="H4" s="34" t="str">
        <x:v>正例</x:v>
      </x:c>
      <x:c r="I4" s="34" t="str">
        <x:v>反例</x:v>
      </x:c>
      <x:c r="J4" s="34" t="str">
        <x:v>打标粒度</x:v>
      </x:c>
      <x:c r="K4" s="34" t="str">
        <x:v>来源范围</x:v>
      </x:c>
      <x:c r="L4" s="34" t="str">
        <x:v>单/多选</x:v>
      </x:c>
      <x:c r="M4" s="34" t="str">
        <x:v>判定方式</x:v>
      </x:c>
      <x:c r="N4" s="34" t="str">
        <x:v>置信门槛</x:v>
      </x:c>
      <x:c r="O4" s="34" t="str">
        <x:v>状态</x:v>
      </x:c>
      <x:c r="P4" s="34" t="str">
        <x:v>版本</x:v>
      </x:c>
      <x:c r="Q4" s="34" t="str">
        <x:v>生效日期</x:v>
      </x:c>
      <x:c r="R4" s="34" t="str">
        <x:v>变更原因</x:v>
      </x:c>
    </x:row>
    <x:row r="5" ht="52" customHeight="1">
      <x:c r="A5" s="108" t="str">
        <x:v>theme-product_action</x:v>
      </x:c>
      <x:c r="B5" s="108" t="str">
        <x:v>产品动作</x:v>
      </x:c>
      <x:c r="C5" s="108" t="str">
        <x:v>核心主题</x:v>
      </x:c>
      <x:c r="D5" s="108"/>
      <x:c r="E5" s="42" t="str">
        <x:v>新品、系列、产品元素与联名产品</x:v>
      </x:c>
      <x:c r="F5" s="42" t="str">
        <x:v>event.theme_ids包含product_action</x:v>
      </x:c>
      <x:c r="G5" s="42" t="str">
        <x:v>非品牌事实层或无对应事件证据</x:v>
      </x:c>
      <x:c r="H5" s="42" t="str">
        <x:v>蜜雪冰城黄桃果霸系列回归</x:v>
      </x:c>
      <x:c r="I5" s="42" t="str">
        <x:v>仅资讯号转述且无品牌事实</x:v>
      </x:c>
      <x:c r="J5" s="108" t="str">
        <x:v>event</x:v>
      </x:c>
      <x:c r="K5" s="108" t="str">
        <x:v>brand</x:v>
      </x:c>
      <x:c r="L5" s="108" t="str">
        <x:v>multi</x:v>
      </x:c>
      <x:c r="M5" s="42" t="str">
        <x:v>规则+已审核主题分配</x:v>
      </x:c>
      <x:c r="N5" s="42" t="str">
        <x:v>人工确认</x:v>
      </x:c>
      <x:c r="O5" s="108" t="str">
        <x:v>active</x:v>
      </x:c>
      <x:c r="P5" s="108" t="str">
        <x:v>bi-tag-rule-v1.2</x:v>
      </x:c>
      <x:c r="Q5" s="192" t="n">
        <x:v>46224</x:v>
      </x:c>
      <x:c r="R5" s="42" t="str">
        <x:v>V1.2正式维表化</x:v>
      </x:c>
    </x:row>
    <x:row r="6" ht="52" customHeight="1">
      <x:c r="A6" s="109" t="str">
        <x:v>product-new-launch</x:v>
      </x:c>
      <x:c r="B6" s="109" t="str">
        <x:v>新品上市</x:v>
      </x:c>
      <x:c r="C6" s="109" t="str">
        <x:v>业务动作</x:v>
      </x:c>
      <x:c r="D6" s="109" t="str">
        <x:v>theme-product_action</x:v>
      </x:c>
      <x:c r="E6" s="43" t="str">
        <x:v>产品动作下用于监测“新品上市”的正式标签</x:v>
      </x:c>
      <x:c r="F6" s="43" t="str">
        <x:v>action.level2_code equals new_launch</x:v>
      </x:c>
      <x:c r="G6" s="43" t="str">
        <x:v>只有文本提及但与事件动作无关，或来源不在品牌事实层</x:v>
      </x:c>
      <x:c r="H6" s="43" t="str">
        <x:v>茉莉奶白生日徽章上新</x:v>
      </x:c>
      <x:c r="I6" s="43" t="str">
        <x:v>无可回读证据的模糊提及</x:v>
      </x:c>
      <x:c r="J6" s="109" t="str">
        <x:v>event</x:v>
      </x:c>
      <x:c r="K6" s="109" t="str">
        <x:v>brand</x:v>
      </x:c>
      <x:c r="L6" s="109" t="str">
        <x:v>multi</x:v>
      </x:c>
      <x:c r="M6" s="43" t="str">
        <x:v>确定性选择器+分析复核</x:v>
      </x:c>
      <x:c r="N6" s="43" t="str">
        <x:v>规则命中并复核</x:v>
      </x:c>
      <x:c r="O6" s="109" t="str">
        <x:v>active</x:v>
      </x:c>
      <x:c r="P6" s="109" t="str">
        <x:v>bi-tag-rule-v1.2</x:v>
      </x:c>
      <x:c r="Q6" s="193" t="n">
        <x:v>46224</x:v>
      </x:c>
      <x:c r="R6" s="43" t="str">
        <x:v>继承V1.1精选标签并补齐治理字段</x:v>
      </x:c>
    </x:row>
    <x:row r="7" ht="52" customHeight="1">
      <x:c r="A7" s="109" t="str">
        <x:v>product-product-bundle</x:v>
      </x:c>
      <x:c r="B7" s="109" t="str">
        <x:v>联名产品或套餐</x:v>
      </x:c>
      <x:c r="C7" s="109" t="str">
        <x:v>业务动作</x:v>
      </x:c>
      <x:c r="D7" s="109" t="str">
        <x:v>theme-product_action</x:v>
      </x:c>
      <x:c r="E7" s="43" t="str">
        <x:v>产品动作下用于监测“联名产品或套餐”的正式标签</x:v>
      </x:c>
      <x:c r="F7" s="43" t="str">
        <x:v>action.level2_code equals product_bundle</x:v>
      </x:c>
      <x:c r="G7" s="43" t="str">
        <x:v>只有文本提及但与事件动作无关，或来源不在品牌事实层</x:v>
      </x:c>
      <x:c r="H7" s="43" t="str">
        <x:v>霸王茶姬 × 王者荣耀</x:v>
      </x:c>
      <x:c r="I7" s="43" t="str">
        <x:v>无可回读证据的模糊提及</x:v>
      </x:c>
      <x:c r="J7" s="109" t="str">
        <x:v>event</x:v>
      </x:c>
      <x:c r="K7" s="109" t="str">
        <x:v>brand</x:v>
      </x:c>
      <x:c r="L7" s="109" t="str">
        <x:v>multi</x:v>
      </x:c>
      <x:c r="M7" s="43" t="str">
        <x:v>确定性选择器+分析复核</x:v>
      </x:c>
      <x:c r="N7" s="43" t="str">
        <x:v>规则命中并复核</x:v>
      </x:c>
      <x:c r="O7" s="109" t="str">
        <x:v>active</x:v>
      </x:c>
      <x:c r="P7" s="109" t="str">
        <x:v>bi-tag-rule-v1.2</x:v>
      </x:c>
      <x:c r="Q7" s="193" t="n">
        <x:v>46224</x:v>
      </x:c>
      <x:c r="R7" s="43" t="str">
        <x:v>继承V1.1精选标签并补齐治理字段</x:v>
      </x:c>
    </x:row>
    <x:row r="8" ht="52" customHeight="1">
      <x:c r="A8" s="109" t="str">
        <x:v>product-lemon</x:v>
      </x:c>
      <x:c r="B8" s="109" t="str">
        <x:v>柠檬</x:v>
      </x:c>
      <x:c r="C8" s="109" t="str">
        <x:v>原料/产品元素</x:v>
      </x:c>
      <x:c r="D8" s="109" t="str">
        <x:v>theme-product_action</x:v>
      </x:c>
      <x:c r="E8" s="43" t="str">
        <x:v>产品动作下用于监测“柠檬”的正式标签</x:v>
      </x:c>
      <x:c r="F8" s="43" t="str">
        <x:v>entity_ids includes ENT-PRODUCT-ELEMENT-柠檬</x:v>
      </x:c>
      <x:c r="G8" s="43" t="str">
        <x:v>只有文本提及但与事件动作无关，或来源不在品牌事实层</x:v>
      </x:c>
      <x:c r="H8" s="43" t="str">
        <x:v>茶百道夏日柑橘系列</x:v>
      </x:c>
      <x:c r="I8" s="43" t="str">
        <x:v>无可回读证据的模糊提及</x:v>
      </x:c>
      <x:c r="J8" s="109" t="str">
        <x:v>event</x:v>
      </x:c>
      <x:c r="K8" s="109" t="str">
        <x:v>brand</x:v>
      </x:c>
      <x:c r="L8" s="109" t="str">
        <x:v>multi</x:v>
      </x:c>
      <x:c r="M8" s="43" t="str">
        <x:v>确定性选择器+分析复核</x:v>
      </x:c>
      <x:c r="N8" s="43" t="str">
        <x:v>规则命中并复核</x:v>
      </x:c>
      <x:c r="O8" s="109" t="str">
        <x:v>active</x:v>
      </x:c>
      <x:c r="P8" s="109" t="str">
        <x:v>bi-tag-rule-v1.2</x:v>
      </x:c>
      <x:c r="Q8" s="193" t="n">
        <x:v>46224</x:v>
      </x:c>
      <x:c r="R8" s="43" t="str">
        <x:v>继承V1.1精选标签并补齐治理字段</x:v>
      </x:c>
    </x:row>
    <x:row r="9" ht="52" customHeight="1">
      <x:c r="A9" s="109" t="str">
        <x:v>product-jasmine</x:v>
      </x:c>
      <x:c r="B9" s="109" t="str">
        <x:v>茉莉</x:v>
      </x:c>
      <x:c r="C9" s="109" t="str">
        <x:v>原料/产品元素</x:v>
      </x:c>
      <x:c r="D9" s="109" t="str">
        <x:v>theme-product_action</x:v>
      </x:c>
      <x:c r="E9" s="43" t="str">
        <x:v>产品动作下用于监测“茉莉”的正式标签</x:v>
      </x:c>
      <x:c r="F9" s="43" t="str">
        <x:v>entity_ids includes ENT-PRODUCT-ELEMENT-茉莉</x:v>
      </x:c>
      <x:c r="G9" s="43" t="str">
        <x:v>只有文本提及但与事件动作无关，或来源不在品牌事实层</x:v>
      </x:c>
      <x:c r="H9" s="43" t="str">
        <x:v>茉莉奶白滇西特调上新</x:v>
      </x:c>
      <x:c r="I9" s="43" t="str">
        <x:v>无可回读证据的模糊提及</x:v>
      </x:c>
      <x:c r="J9" s="109" t="str">
        <x:v>event</x:v>
      </x:c>
      <x:c r="K9" s="109" t="str">
        <x:v>brand</x:v>
      </x:c>
      <x:c r="L9" s="109" t="str">
        <x:v>multi</x:v>
      </x:c>
      <x:c r="M9" s="43" t="str">
        <x:v>确定性选择器+分析复核</x:v>
      </x:c>
      <x:c r="N9" s="43" t="str">
        <x:v>规则命中并复核</x:v>
      </x:c>
      <x:c r="O9" s="109" t="str">
        <x:v>active</x:v>
      </x:c>
      <x:c r="P9" s="109" t="str">
        <x:v>bi-tag-rule-v1.2</x:v>
      </x:c>
      <x:c r="Q9" s="193" t="n">
        <x:v>46224</x:v>
      </x:c>
      <x:c r="R9" s="43" t="str">
        <x:v>继承V1.1精选标签并补齐治理字段</x:v>
      </x:c>
    </x:row>
    <x:row r="10" ht="52" customHeight="1">
      <x:c r="A10" s="109" t="str">
        <x:v>product-yogurt</x:v>
      </x:c>
      <x:c r="B10" s="109" t="str">
        <x:v>酸奶</x:v>
      </x:c>
      <x:c r="C10" s="109" t="str">
        <x:v>原料/产品元素</x:v>
      </x:c>
      <x:c r="D10" s="109" t="str">
        <x:v>theme-product_action</x:v>
      </x:c>
      <x:c r="E10" s="43" t="str">
        <x:v>产品动作下用于监测“酸奶”的正式标签</x:v>
      </x:c>
      <x:c r="F10" s="43" t="str">
        <x:v>entity_ids includes ENT-PRODUCT-ELEMENT-酸奶</x:v>
      </x:c>
      <x:c r="G10" s="43" t="str">
        <x:v>只有文本提及但与事件动作无关，或来源不在品牌事实层</x:v>
      </x:c>
      <x:c r="H10" s="43" t="str">
        <x:v>蜜雪冰城黄桃果霸系列回归</x:v>
      </x:c>
      <x:c r="I10" s="43" t="str">
        <x:v>无可回读证据的模糊提及</x:v>
      </x:c>
      <x:c r="J10" s="109" t="str">
        <x:v>event</x:v>
      </x:c>
      <x:c r="K10" s="109" t="str">
        <x:v>brand</x:v>
      </x:c>
      <x:c r="L10" s="109" t="str">
        <x:v>multi</x:v>
      </x:c>
      <x:c r="M10" s="43" t="str">
        <x:v>确定性选择器+分析复核</x:v>
      </x:c>
      <x:c r="N10" s="43" t="str">
        <x:v>规则命中并复核</x:v>
      </x:c>
      <x:c r="O10" s="109" t="str">
        <x:v>active</x:v>
      </x:c>
      <x:c r="P10" s="109" t="str">
        <x:v>bi-tag-rule-v1.2</x:v>
      </x:c>
      <x:c r="Q10" s="193" t="n">
        <x:v>46224</x:v>
      </x:c>
      <x:c r="R10" s="43" t="str">
        <x:v>继承V1.1精选标签并补齐治理字段</x:v>
      </x:c>
    </x:row>
    <x:row r="11" ht="52" customHeight="1">
      <x:c r="A11" s="109" t="str">
        <x:v>product-passion-fruit</x:v>
      </x:c>
      <x:c r="B11" s="109" t="str">
        <x:v>百香果</x:v>
      </x:c>
      <x:c r="C11" s="109" t="str">
        <x:v>原料/产品元素</x:v>
      </x:c>
      <x:c r="D11" s="109" t="str">
        <x:v>theme-product_action</x:v>
      </x:c>
      <x:c r="E11" s="43" t="str">
        <x:v>产品动作下用于监测“百香果”的正式标签</x:v>
      </x:c>
      <x:c r="F11" s="43" t="str">
        <x:v>entity_ids includes ENT-PRODUCT-ELEMENT-百香果</x:v>
      </x:c>
      <x:c r="G11" s="43" t="str">
        <x:v>只有文本提及但与事件动作无关，或来源不在品牌事实层</x:v>
      </x:c>
      <x:c r="H11" s="43" t="str">
        <x:v>蜜雪冰城满杯百香果上海创意内容</x:v>
      </x:c>
      <x:c r="I11" s="43" t="str">
        <x:v>无可回读证据的模糊提及</x:v>
      </x:c>
      <x:c r="J11" s="109" t="str">
        <x:v>event</x:v>
      </x:c>
      <x:c r="K11" s="109" t="str">
        <x:v>brand</x:v>
      </x:c>
      <x:c r="L11" s="109" t="str">
        <x:v>multi</x:v>
      </x:c>
      <x:c r="M11" s="43" t="str">
        <x:v>确定性选择器+分析复核</x:v>
      </x:c>
      <x:c r="N11" s="43" t="str">
        <x:v>规则命中并复核</x:v>
      </x:c>
      <x:c r="O11" s="109" t="str">
        <x:v>active</x:v>
      </x:c>
      <x:c r="P11" s="109" t="str">
        <x:v>bi-tag-rule-v1.2</x:v>
      </x:c>
      <x:c r="Q11" s="193" t="n">
        <x:v>46224</x:v>
      </x:c>
      <x:c r="R11" s="43" t="str">
        <x:v>继承V1.1精选标签并补齐治理字段</x:v>
      </x:c>
    </x:row>
    <x:row r="12" ht="52" customHeight="1">
      <x:c r="A12" s="109" t="str">
        <x:v>product-series-launch</x:v>
      </x:c>
      <x:c r="B12" s="109" t="str">
        <x:v>系列上新</x:v>
      </x:c>
      <x:c r="C12" s="109" t="str">
        <x:v>业务动作</x:v>
      </x:c>
      <x:c r="D12" s="109" t="str">
        <x:v>theme-product_action</x:v>
      </x:c>
      <x:c r="E12" s="43" t="str">
        <x:v>产品动作下用于监测“系列上新”的正式标签</x:v>
      </x:c>
      <x:c r="F12" s="43" t="str">
        <x:v>action.level2_code equals series_launch</x:v>
      </x:c>
      <x:c r="G12" s="43" t="str">
        <x:v>只有文本提及但与事件动作无关，或来源不在品牌事实层</x:v>
      </x:c>
      <x:c r="H12" s="43" t="str">
        <x:v>茶百道夏日柑橘系列</x:v>
      </x:c>
      <x:c r="I12" s="43" t="str">
        <x:v>无可回读证据的模糊提及</x:v>
      </x:c>
      <x:c r="J12" s="109" t="str">
        <x:v>event</x:v>
      </x:c>
      <x:c r="K12" s="109" t="str">
        <x:v>brand</x:v>
      </x:c>
      <x:c r="L12" s="109" t="str">
        <x:v>multi</x:v>
      </x:c>
      <x:c r="M12" s="43" t="str">
        <x:v>确定性选择器+分析复核</x:v>
      </x:c>
      <x:c r="N12" s="43" t="str">
        <x:v>规则命中并复核</x:v>
      </x:c>
      <x:c r="O12" s="109" t="str">
        <x:v>active</x:v>
      </x:c>
      <x:c r="P12" s="109" t="str">
        <x:v>bi-tag-rule-v1.2</x:v>
      </x:c>
      <x:c r="Q12" s="193" t="n">
        <x:v>46224</x:v>
      </x:c>
      <x:c r="R12" s="43" t="str">
        <x:v>继承V1.1精选标签并补齐治理字段</x:v>
      </x:c>
    </x:row>
    <x:row r="13" ht="52" customHeight="1">
      <x:c r="A13" s="109" t="str">
        <x:v>product-pineapple</x:v>
      </x:c>
      <x:c r="B13" s="109" t="str">
        <x:v>菠萝</x:v>
      </x:c>
      <x:c r="C13" s="109" t="str">
        <x:v>原料/产品元素</x:v>
      </x:c>
      <x:c r="D13" s="109" t="str">
        <x:v>theme-product_action</x:v>
      </x:c>
      <x:c r="E13" s="43" t="str">
        <x:v>产品动作下用于监测“菠萝”的正式标签</x:v>
      </x:c>
      <x:c r="F13" s="43" t="str">
        <x:v>entity_ids includes ENT-PRODUCT-ELEMENT-菠萝</x:v>
      </x:c>
      <x:c r="G13" s="43" t="str">
        <x:v>只有文本提及但与事件动作无关，或来源不在品牌事实层</x:v>
      </x:c>
      <x:c r="H13" s="43" t="str">
        <x:v>库迪咖啡 ×《蜘蛛侠：崭新之日》</x:v>
      </x:c>
      <x:c r="I13" s="43" t="str">
        <x:v>无可回读证据的模糊提及</x:v>
      </x:c>
      <x:c r="J13" s="109" t="str">
        <x:v>event</x:v>
      </x:c>
      <x:c r="K13" s="109" t="str">
        <x:v>brand</x:v>
      </x:c>
      <x:c r="L13" s="109" t="str">
        <x:v>multi</x:v>
      </x:c>
      <x:c r="M13" s="43" t="str">
        <x:v>确定性选择器+分析复核</x:v>
      </x:c>
      <x:c r="N13" s="43" t="str">
        <x:v>规则命中并复核</x:v>
      </x:c>
      <x:c r="O13" s="109" t="str">
        <x:v>active</x:v>
      </x:c>
      <x:c r="P13" s="109" t="str">
        <x:v>bi-tag-rule-v1.2</x:v>
      </x:c>
      <x:c r="Q13" s="193" t="n">
        <x:v>46224</x:v>
      </x:c>
      <x:c r="R13" s="43" t="str">
        <x:v>继承V1.1精选标签并补齐治理字段</x:v>
      </x:c>
    </x:row>
    <x:row r="14" ht="52" customHeight="1">
      <x:c r="A14" s="109" t="str">
        <x:v>theme-collaboration</x:v>
      </x:c>
      <x:c r="B14" s="109" t="str">
        <x:v>联名合作</x:v>
      </x:c>
      <x:c r="C14" s="109" t="str">
        <x:v>核心主题</x:v>
      </x:c>
      <x:c r="D14" s="109"/>
      <x:c r="E14" s="43" t="str">
        <x:v>IP、跨界合作、联名产品与线下活动</x:v>
      </x:c>
      <x:c r="F14" s="43" t="str">
        <x:v>event.theme_ids包含collaboration</x:v>
      </x:c>
      <x:c r="G14" s="43" t="str">
        <x:v>非品牌事实层或无对应事件证据</x:v>
      </x:c>
      <x:c r="H14" s="43" t="str">
        <x:v>霸王茶姬 × 王者荣耀</x:v>
      </x:c>
      <x:c r="I14" s="43" t="str">
        <x:v>仅资讯号转述且无品牌事实</x:v>
      </x:c>
      <x:c r="J14" s="109" t="str">
        <x:v>event</x:v>
      </x:c>
      <x:c r="K14" s="109" t="str">
        <x:v>brand</x:v>
      </x:c>
      <x:c r="L14" s="109" t="str">
        <x:v>multi</x:v>
      </x:c>
      <x:c r="M14" s="43" t="str">
        <x:v>规则+已审核主题分配</x:v>
      </x:c>
      <x:c r="N14" s="43" t="str">
        <x:v>人工确认</x:v>
      </x:c>
      <x:c r="O14" s="109" t="str">
        <x:v>active</x:v>
      </x:c>
      <x:c r="P14" s="109" t="str">
        <x:v>bi-tag-rule-v1.2</x:v>
      </x:c>
      <x:c r="Q14" s="193" t="n">
        <x:v>46224</x:v>
      </x:c>
      <x:c r="R14" s="43" t="str">
        <x:v>V1.2正式维表化</x:v>
      </x:c>
    </x:row>
    <x:row r="15" ht="52" customHeight="1">
      <x:c r="A15" s="109" t="str">
        <x:v>collaboration-product-bundle</x:v>
      </x:c>
      <x:c r="B15" s="109" t="str">
        <x:v>联名产品或套餐</x:v>
      </x:c>
      <x:c r="C15" s="109" t="str">
        <x:v>业务动作</x:v>
      </x:c>
      <x:c r="D15" s="109" t="str">
        <x:v>theme-collaboration</x:v>
      </x:c>
      <x:c r="E15" s="43" t="str">
        <x:v>联名合作下用于监测“联名产品或套餐”的正式标签</x:v>
      </x:c>
      <x:c r="F15" s="43" t="str">
        <x:v>action.level2_code equals product_bundle</x:v>
      </x:c>
      <x:c r="G15" s="43" t="str">
        <x:v>只有文本提及但与事件动作无关，或来源不在品牌事实层</x:v>
      </x:c>
      <x:c r="H15" s="43" t="str">
        <x:v>霸王茶姬 × 王者荣耀</x:v>
      </x:c>
      <x:c r="I15" s="43" t="str">
        <x:v>无可回读证据的模糊提及</x:v>
      </x:c>
      <x:c r="J15" s="109" t="str">
        <x:v>event</x:v>
      </x:c>
      <x:c r="K15" s="109" t="str">
        <x:v>brand</x:v>
      </x:c>
      <x:c r="L15" s="109" t="str">
        <x:v>multi</x:v>
      </x:c>
      <x:c r="M15" s="43" t="str">
        <x:v>确定性选择器+分析复核</x:v>
      </x:c>
      <x:c r="N15" s="43" t="str">
        <x:v>规则命中并复核</x:v>
      </x:c>
      <x:c r="O15" s="109" t="str">
        <x:v>active</x:v>
      </x:c>
      <x:c r="P15" s="109" t="str">
        <x:v>bi-tag-rule-v1.2</x:v>
      </x:c>
      <x:c r="Q15" s="193" t="n">
        <x:v>46224</x:v>
      </x:c>
      <x:c r="R15" s="43" t="str">
        <x:v>继承V1.1精选标签并补齐治理字段</x:v>
      </x:c>
    </x:row>
    <x:row r="16" ht="52" customHeight="1">
      <x:c r="A16" s="109" t="str">
        <x:v>collaboration-offline-event</x:v>
      </x:c>
      <x:c r="B16" s="109" t="str">
        <x:v>联名线下活动</x:v>
      </x:c>
      <x:c r="C16" s="109" t="str">
        <x:v>业务动作</x:v>
      </x:c>
      <x:c r="D16" s="109" t="str">
        <x:v>theme-collaboration</x:v>
      </x:c>
      <x:c r="E16" s="43" t="str">
        <x:v>联名合作下用于监测“联名线下活动”的正式标签</x:v>
      </x:c>
      <x:c r="F16" s="43" t="str">
        <x:v>action.level2_code equals offline_event</x:v>
      </x:c>
      <x:c r="G16" s="43" t="str">
        <x:v>只有文本提及但与事件动作无关，或来源不在品牌事实层</x:v>
      </x:c>
      <x:c r="H16" s="43" t="str">
        <x:v>库迪咖啡苏超观赛互动</x:v>
      </x:c>
      <x:c r="I16" s="43" t="str">
        <x:v>无可回读证据的模糊提及</x:v>
      </x:c>
      <x:c r="J16" s="109" t="str">
        <x:v>event</x:v>
      </x:c>
      <x:c r="K16" s="109" t="str">
        <x:v>brand</x:v>
      </x:c>
      <x:c r="L16" s="109" t="str">
        <x:v>multi</x:v>
      </x:c>
      <x:c r="M16" s="43" t="str">
        <x:v>确定性选择器+分析复核</x:v>
      </x:c>
      <x:c r="N16" s="43" t="str">
        <x:v>规则命中并复核</x:v>
      </x:c>
      <x:c r="O16" s="109" t="str">
        <x:v>active</x:v>
      </x:c>
      <x:c r="P16" s="109" t="str">
        <x:v>bi-tag-rule-v1.2</x:v>
      </x:c>
      <x:c r="Q16" s="193" t="n">
        <x:v>46224</x:v>
      </x:c>
      <x:c r="R16" s="43" t="str">
        <x:v>继承V1.1精选标签并补齐治理字段</x:v>
      </x:c>
    </x:row>
    <x:row r="17" ht="52" customHeight="1">
      <x:c r="A17" s="109" t="str">
        <x:v>collaboration-duolingo</x:v>
      </x:c>
      <x:c r="B17" s="109" t="str">
        <x:v>多邻国</x:v>
      </x:c>
      <x:c r="C17" s="109" t="str">
        <x:v>联名领域/IP</x:v>
      </x:c>
      <x:c r="D17" s="109" t="str">
        <x:v>theme-collaboration</x:v>
      </x:c>
      <x:c r="E17" s="43" t="str">
        <x:v>联名合作下用于监测“多邻国”的正式标签</x:v>
      </x:c>
      <x:c r="F17" s="43" t="str">
        <x:v>entity_ids includes ENT-COLLAB-PARTNER-多邻国</x:v>
      </x:c>
      <x:c r="G17" s="43" t="str">
        <x:v>只有文本提及但与事件动作无关，或来源不在品牌事实层</x:v>
      </x:c>
      <x:c r="H17" s="43" t="str">
        <x:v>瑞幸咖啡 × 多邻国内容联动</x:v>
      </x:c>
      <x:c r="I17" s="43" t="str">
        <x:v>无可回读证据的模糊提及</x:v>
      </x:c>
      <x:c r="J17" s="109" t="str">
        <x:v>event</x:v>
      </x:c>
      <x:c r="K17" s="109" t="str">
        <x:v>brand</x:v>
      </x:c>
      <x:c r="L17" s="109" t="str">
        <x:v>multi</x:v>
      </x:c>
      <x:c r="M17" s="43" t="str">
        <x:v>确定性选择器+分析复核</x:v>
      </x:c>
      <x:c r="N17" s="43" t="str">
        <x:v>规则命中并复核</x:v>
      </x:c>
      <x:c r="O17" s="109" t="str">
        <x:v>active</x:v>
      </x:c>
      <x:c r="P17" s="109" t="str">
        <x:v>bi-tag-rule-v1.2</x:v>
      </x:c>
      <x:c r="Q17" s="193" t="n">
        <x:v>46224</x:v>
      </x:c>
      <x:c r="R17" s="43" t="str">
        <x:v>继承V1.1精选标签并补齐治理字段</x:v>
      </x:c>
    </x:row>
    <x:row r="18" ht="52" customHeight="1">
      <x:c r="A18" s="109" t="str">
        <x:v>collaboration-honor-of-kings</x:v>
      </x:c>
      <x:c r="B18" s="109" t="str">
        <x:v>王者荣耀</x:v>
      </x:c>
      <x:c r="C18" s="109" t="str">
        <x:v>联名领域/IP</x:v>
      </x:c>
      <x:c r="D18" s="109" t="str">
        <x:v>theme-collaboration</x:v>
      </x:c>
      <x:c r="E18" s="43" t="str">
        <x:v>联名合作下用于监测“王者荣耀”的正式标签</x:v>
      </x:c>
      <x:c r="F18" s="43" t="str">
        <x:v>entity_ids includes ENT-COLLAB-PARTNER-王者荣耀</x:v>
      </x:c>
      <x:c r="G18" s="43" t="str">
        <x:v>只有文本提及但与事件动作无关，或来源不在品牌事实层</x:v>
      </x:c>
      <x:c r="H18" s="43" t="str">
        <x:v>霸王茶姬 × 王者荣耀</x:v>
      </x:c>
      <x:c r="I18" s="43" t="str">
        <x:v>无可回读证据的模糊提及</x:v>
      </x:c>
      <x:c r="J18" s="109" t="str">
        <x:v>event</x:v>
      </x:c>
      <x:c r="K18" s="109" t="str">
        <x:v>brand</x:v>
      </x:c>
      <x:c r="L18" s="109" t="str">
        <x:v>multi</x:v>
      </x:c>
      <x:c r="M18" s="43" t="str">
        <x:v>确定性选择器+分析复核</x:v>
      </x:c>
      <x:c r="N18" s="43" t="str">
        <x:v>规则命中并复核</x:v>
      </x:c>
      <x:c r="O18" s="109" t="str">
        <x:v>active</x:v>
      </x:c>
      <x:c r="P18" s="109" t="str">
        <x:v>bi-tag-rule-v1.2</x:v>
      </x:c>
      <x:c r="Q18" s="193" t="n">
        <x:v>46224</x:v>
      </x:c>
      <x:c r="R18" s="43" t="str">
        <x:v>继承V1.1精选标签并补齐治理字段</x:v>
      </x:c>
    </x:row>
    <x:row r="19" ht="52" customHeight="1">
      <x:c r="A19" s="109" t="str">
        <x:v>collaboration-crocs</x:v>
      </x:c>
      <x:c r="B19" s="109" t="str">
        <x:v>Crocs</x:v>
      </x:c>
      <x:c r="C19" s="109" t="str">
        <x:v>联名领域/IP</x:v>
      </x:c>
      <x:c r="D19" s="109" t="str">
        <x:v>theme-collaboration</x:v>
      </x:c>
      <x:c r="E19" s="43" t="str">
        <x:v>联名合作下用于监测“Crocs”的正式标签</x:v>
      </x:c>
      <x:c r="F19" s="43" t="str">
        <x:v>entity_ids includes ENT-COLLAB-PARTNER-crocs</x:v>
      </x:c>
      <x:c r="G19" s="43" t="str">
        <x:v>只有文本提及但与事件动作无关，或来源不在品牌事实层</x:v>
      </x:c>
      <x:c r="H19" s="43" t="str">
        <x:v>瑞幸咖啡 × Crocs 夏日联名</x:v>
      </x:c>
      <x:c r="I19" s="43" t="str">
        <x:v>无可回读证据的模糊提及</x:v>
      </x:c>
      <x:c r="J19" s="109" t="str">
        <x:v>event</x:v>
      </x:c>
      <x:c r="K19" s="109" t="str">
        <x:v>brand</x:v>
      </x:c>
      <x:c r="L19" s="109" t="str">
        <x:v>multi</x:v>
      </x:c>
      <x:c r="M19" s="43" t="str">
        <x:v>确定性选择器+分析复核</x:v>
      </x:c>
      <x:c r="N19" s="43" t="str">
        <x:v>规则命中并复核</x:v>
      </x:c>
      <x:c r="O19" s="109" t="str">
        <x:v>active</x:v>
      </x:c>
      <x:c r="P19" s="109" t="str">
        <x:v>bi-tag-rule-v1.2</x:v>
      </x:c>
      <x:c r="Q19" s="193" t="n">
        <x:v>46224</x:v>
      </x:c>
      <x:c r="R19" s="43" t="str">
        <x:v>继承V1.1精选标签并补齐治理字段</x:v>
      </x:c>
    </x:row>
    <x:row r="20" ht="52" customHeight="1">
      <x:c r="A20" s="109" t="str">
        <x:v>collaboration-miffy</x:v>
      </x:c>
      <x:c r="B20" s="109" t="str">
        <x:v>米菲</x:v>
      </x:c>
      <x:c r="C20" s="109" t="str">
        <x:v>联名领域/IP</x:v>
      </x:c>
      <x:c r="D20" s="109" t="str">
        <x:v>theme-collaboration</x:v>
      </x:c>
      <x:c r="E20" s="43" t="str">
        <x:v>联名合作下用于监测“米菲”的正式标签</x:v>
      </x:c>
      <x:c r="F20" s="43" t="str">
        <x:v>entity_ids includes ENT-COLLAB-PARTNER-米菲</x:v>
      </x:c>
      <x:c r="G20" s="43" t="str">
        <x:v>只有文本提及但与事件动作无关，或来源不在品牌事实层</x:v>
      </x:c>
      <x:c r="H20" s="43" t="str">
        <x:v>古茗 × 米菲</x:v>
      </x:c>
      <x:c r="I20" s="43" t="str">
        <x:v>无可回读证据的模糊提及</x:v>
      </x:c>
      <x:c r="J20" s="109" t="str">
        <x:v>event</x:v>
      </x:c>
      <x:c r="K20" s="109" t="str">
        <x:v>brand</x:v>
      </x:c>
      <x:c r="L20" s="109" t="str">
        <x:v>multi</x:v>
      </x:c>
      <x:c r="M20" s="43" t="str">
        <x:v>确定性选择器+分析复核</x:v>
      </x:c>
      <x:c r="N20" s="43" t="str">
        <x:v>规则命中并复核</x:v>
      </x:c>
      <x:c r="O20" s="109" t="str">
        <x:v>active</x:v>
      </x:c>
      <x:c r="P20" s="109" t="str">
        <x:v>bi-tag-rule-v1.2</x:v>
      </x:c>
      <x:c r="Q20" s="193" t="n">
        <x:v>46224</x:v>
      </x:c>
      <x:c r="R20" s="43" t="str">
        <x:v>继承V1.1精选标签并补齐治理字段</x:v>
      </x:c>
    </x:row>
    <x:row r="21" ht="52" customHeight="1">
      <x:c r="A21" s="109" t="str">
        <x:v>collaboration-sanrio</x:v>
      </x:c>
      <x:c r="B21" s="109" t="str">
        <x:v>三丽鸥</x:v>
      </x:c>
      <x:c r="C21" s="109" t="str">
        <x:v>联名领域/IP</x:v>
      </x:c>
      <x:c r="D21" s="109" t="str">
        <x:v>theme-collaboration</x:v>
      </x:c>
      <x:c r="E21" s="43" t="str">
        <x:v>联名合作下用于监测“三丽鸥”的正式标签</x:v>
      </x:c>
      <x:c r="F21" s="43" t="str">
        <x:v>entity_ids includes ENT-COLLAB-PARTNER-三丽鸥</x:v>
      </x:c>
      <x:c r="G21" s="43" t="str">
        <x:v>只有文本提及但与事件动作无关，或来源不在品牌事实层</x:v>
      </x:c>
      <x:c r="H21" s="43" t="str">
        <x:v>茉莉奶白 × 三丽鸥日晒海岛派对</x:v>
      </x:c>
      <x:c r="I21" s="43" t="str">
        <x:v>无可回读证据的模糊提及</x:v>
      </x:c>
      <x:c r="J21" s="109" t="str">
        <x:v>event</x:v>
      </x:c>
      <x:c r="K21" s="109" t="str">
        <x:v>brand</x:v>
      </x:c>
      <x:c r="L21" s="109" t="str">
        <x:v>multi</x:v>
      </x:c>
      <x:c r="M21" s="43" t="str">
        <x:v>确定性选择器+分析复核</x:v>
      </x:c>
      <x:c r="N21" s="43" t="str">
        <x:v>规则命中并复核</x:v>
      </x:c>
      <x:c r="O21" s="109" t="str">
        <x:v>active</x:v>
      </x:c>
      <x:c r="P21" s="109" t="str">
        <x:v>bi-tag-rule-v1.2</x:v>
      </x:c>
      <x:c r="Q21" s="193" t="n">
        <x:v>46224</x:v>
      </x:c>
      <x:c r="R21" s="43" t="str">
        <x:v>继承V1.1精选标签并补齐治理字段</x:v>
      </x:c>
    </x:row>
    <x:row r="22" ht="52" customHeight="1">
      <x:c r="A22" s="109" t="str">
        <x:v>collaboration-spider-man</x:v>
      </x:c>
      <x:c r="B22" s="109" t="str">
        <x:v>蜘蛛侠</x:v>
      </x:c>
      <x:c r="C22" s="109" t="str">
        <x:v>联名领域/IP</x:v>
      </x:c>
      <x:c r="D22" s="109" t="str">
        <x:v>theme-collaboration</x:v>
      </x:c>
      <x:c r="E22" s="43" t="str">
        <x:v>联名合作下用于监测“蜘蛛侠”的正式标签</x:v>
      </x:c>
      <x:c r="F22" s="43" t="str">
        <x:v>entity_ids includes ENT-COLLAB-PARTNER-蜘蛛侠</x:v>
      </x:c>
      <x:c r="G22" s="43" t="str">
        <x:v>只有文本提及但与事件动作无关，或来源不在品牌事实层</x:v>
      </x:c>
      <x:c r="H22" s="43" t="str">
        <x:v>库迪咖啡 ×《蜘蛛侠：崭新之日》</x:v>
      </x:c>
      <x:c r="I22" s="43" t="str">
        <x:v>无可回读证据的模糊提及</x:v>
      </x:c>
      <x:c r="J22" s="109" t="str">
        <x:v>event</x:v>
      </x:c>
      <x:c r="K22" s="109" t="str">
        <x:v>brand</x:v>
      </x:c>
      <x:c r="L22" s="109" t="str">
        <x:v>multi</x:v>
      </x:c>
      <x:c r="M22" s="43" t="str">
        <x:v>确定性选择器+分析复核</x:v>
      </x:c>
      <x:c r="N22" s="43" t="str">
        <x:v>规则命中并复核</x:v>
      </x:c>
      <x:c r="O22" s="109" t="str">
        <x:v>active</x:v>
      </x:c>
      <x:c r="P22" s="109" t="str">
        <x:v>bi-tag-rule-v1.2</x:v>
      </x:c>
      <x:c r="Q22" s="193" t="n">
        <x:v>46224</x:v>
      </x:c>
      <x:c r="R22" s="43" t="str">
        <x:v>继承V1.1精选标签并补齐治理字段</x:v>
      </x:c>
    </x:row>
    <x:row r="23" ht="52" customHeight="1">
      <x:c r="A23" s="109" t="str">
        <x:v>theme-brand_event</x:v>
      </x:c>
      <x:c r="B23" s="109" t="str">
        <x:v>品牌事件</x:v>
      </x:c>
      <x:c r="C23" s="109" t="str">
        <x:v>核心主题</x:v>
      </x:c>
      <x:c r="D23" s="109"/>
      <x:c r="E23" s="43" t="str">
        <x:v>互动、节日、门店、人物与品牌动作</x:v>
      </x:c>
      <x:c r="F23" s="43" t="str">
        <x:v>event.theme_ids包含brand_event</x:v>
      </x:c>
      <x:c r="G23" s="43" t="str">
        <x:v>非品牌事实层或无对应事件证据</x:v>
      </x:c>
      <x:c r="H23" s="43" t="str">
        <x:v>喜茶大家的灵感内容互动</x:v>
      </x:c>
      <x:c r="I23" s="43" t="str">
        <x:v>仅资讯号转述且无品牌事实</x:v>
      </x:c>
      <x:c r="J23" s="109" t="str">
        <x:v>event</x:v>
      </x:c>
      <x:c r="K23" s="109" t="str">
        <x:v>brand</x:v>
      </x:c>
      <x:c r="L23" s="109" t="str">
        <x:v>multi</x:v>
      </x:c>
      <x:c r="M23" s="43" t="str">
        <x:v>规则+已审核主题分配</x:v>
      </x:c>
      <x:c r="N23" s="43" t="str">
        <x:v>人工确认</x:v>
      </x:c>
      <x:c r="O23" s="109" t="str">
        <x:v>active</x:v>
      </x:c>
      <x:c r="P23" s="109" t="str">
        <x:v>bi-tag-rule-v1.2</x:v>
      </x:c>
      <x:c r="Q23" s="193" t="n">
        <x:v>46224</x:v>
      </x:c>
      <x:c r="R23" s="43" t="str">
        <x:v>V1.2正式维表化</x:v>
      </x:c>
    </x:row>
    <x:row r="24" ht="52" customHeight="1">
      <x:c r="A24" s="109" t="str">
        <x:v>brand-new-format</x:v>
      </x:c>
      <x:c r="B24" s="109" t="str">
        <x:v>新店型</x:v>
      </x:c>
      <x:c r="C24" s="109" t="str">
        <x:v>业务动作</x:v>
      </x:c>
      <x:c r="D24" s="109" t="str">
        <x:v>theme-brand_event</x:v>
      </x:c>
      <x:c r="E24" s="43" t="str">
        <x:v>品牌事件下用于监测“新店型”的正式标签</x:v>
      </x:c>
      <x:c r="F24" s="43" t="str">
        <x:v>action.level2_code equals new_format</x:v>
      </x:c>
      <x:c r="G24" s="43" t="str">
        <x:v>只有文本提及但与事件动作无关，或来源不在品牌事实层</x:v>
      </x:c>
      <x:c r="H24" s="43" t="str">
        <x:v>喜茶上海炒冰实验室+</x:v>
      </x:c>
      <x:c r="I24" s="43" t="str">
        <x:v>无可回读证据的模糊提及</x:v>
      </x:c>
      <x:c r="J24" s="109" t="str">
        <x:v>event</x:v>
      </x:c>
      <x:c r="K24" s="109" t="str">
        <x:v>brand</x:v>
      </x:c>
      <x:c r="L24" s="109" t="str">
        <x:v>multi</x:v>
      </x:c>
      <x:c r="M24" s="43" t="str">
        <x:v>确定性选择器+分析复核</x:v>
      </x:c>
      <x:c r="N24" s="43" t="str">
        <x:v>规则命中并复核</x:v>
      </x:c>
      <x:c r="O24" s="109" t="str">
        <x:v>active</x:v>
      </x:c>
      <x:c r="P24" s="109" t="str">
        <x:v>bi-tag-rule-v1.2</x:v>
      </x:c>
      <x:c r="Q24" s="193" t="n">
        <x:v>46224</x:v>
      </x:c>
      <x:c r="R24" s="43" t="str">
        <x:v>继承V1.1精选标签并补齐治理字段</x:v>
      </x:c>
    </x:row>
    <x:row r="25" ht="52" customHeight="1">
      <x:c r="A25" s="109" t="str">
        <x:v>brand-ugc</x:v>
      </x:c>
      <x:c r="B25" s="109" t="str">
        <x:v>UGC互动</x:v>
      </x:c>
      <x:c r="C25" s="109" t="str">
        <x:v>业务动作</x:v>
      </x:c>
      <x:c r="D25" s="109" t="str">
        <x:v>theme-brand_event</x:v>
      </x:c>
      <x:c r="E25" s="43" t="str">
        <x:v>品牌事件下用于监测“UGC互动”的正式标签</x:v>
      </x:c>
      <x:c r="F25" s="43" t="str">
        <x:v>action.level2_code equals ugc_social</x:v>
      </x:c>
      <x:c r="G25" s="43" t="str">
        <x:v>只有文本提及但与事件动作无关，或来源不在品牌事实层</x:v>
      </x:c>
      <x:c r="H25" s="43" t="str">
        <x:v>喜茶大家的灵感内容互动</x:v>
      </x:c>
      <x:c r="I25" s="43" t="str">
        <x:v>无可回读证据的模糊提及</x:v>
      </x:c>
      <x:c r="J25" s="109" t="str">
        <x:v>event</x:v>
      </x:c>
      <x:c r="K25" s="109" t="str">
        <x:v>brand</x:v>
      </x:c>
      <x:c r="L25" s="109" t="str">
        <x:v>multi</x:v>
      </x:c>
      <x:c r="M25" s="43" t="str">
        <x:v>确定性选择器+分析复核</x:v>
      </x:c>
      <x:c r="N25" s="43" t="str">
        <x:v>规则命中并复核</x:v>
      </x:c>
      <x:c r="O25" s="109" t="str">
        <x:v>active</x:v>
      </x:c>
      <x:c r="P25" s="109" t="str">
        <x:v>bi-tag-rule-v1.2</x:v>
      </x:c>
      <x:c r="Q25" s="193" t="n">
        <x:v>46224</x:v>
      </x:c>
      <x:c r="R25" s="43" t="str">
        <x:v>继承V1.1精选标签并补齐治理字段</x:v>
      </x:c>
    </x:row>
    <x:row r="26" ht="52" customHeight="1">
      <x:c r="A26" s="109" t="str">
        <x:v>brand-offline-event</x:v>
      </x:c>
      <x:c r="B26" s="109" t="str">
        <x:v>联名线下活动</x:v>
      </x:c>
      <x:c r="C26" s="109" t="str">
        <x:v>业务动作</x:v>
      </x:c>
      <x:c r="D26" s="109" t="str">
        <x:v>theme-brand_event</x:v>
      </x:c>
      <x:c r="E26" s="43" t="str">
        <x:v>品牌事件下用于监测“联名线下活动”的正式标签</x:v>
      </x:c>
      <x:c r="F26" s="43" t="str">
        <x:v>action.level2_code equals offline_event</x:v>
      </x:c>
      <x:c r="G26" s="43" t="str">
        <x:v>只有文本提及但与事件动作无关，或来源不在品牌事实层</x:v>
      </x:c>
      <x:c r="H26" s="43" t="str">
        <x:v>库迪咖啡苏超观赛互动</x:v>
      </x:c>
      <x:c r="I26" s="43" t="str">
        <x:v>无可回读证据的模糊提及</x:v>
      </x:c>
      <x:c r="J26" s="109" t="str">
        <x:v>event</x:v>
      </x:c>
      <x:c r="K26" s="109" t="str">
        <x:v>brand</x:v>
      </x:c>
      <x:c r="L26" s="109" t="str">
        <x:v>multi</x:v>
      </x:c>
      <x:c r="M26" s="43" t="str">
        <x:v>确定性选择器+分析复核</x:v>
      </x:c>
      <x:c r="N26" s="43" t="str">
        <x:v>规则命中并复核</x:v>
      </x:c>
      <x:c r="O26" s="109" t="str">
        <x:v>active</x:v>
      </x:c>
      <x:c r="P26" s="109" t="str">
        <x:v>bi-tag-rule-v1.2</x:v>
      </x:c>
      <x:c r="Q26" s="193" t="n">
        <x:v>46224</x:v>
      </x:c>
      <x:c r="R26" s="43" t="str">
        <x:v>继承V1.1精选标签并补齐治理字段</x:v>
      </x:c>
    </x:row>
    <x:row r="27" ht="52" customHeight="1">
      <x:c r="A27" s="109" t="str">
        <x:v>brand-seasonal</x:v>
      </x:c>
      <x:c r="B27" s="109" t="str">
        <x:v>节日营销</x:v>
      </x:c>
      <x:c r="C27" s="109" t="str">
        <x:v>业务动作</x:v>
      </x:c>
      <x:c r="D27" s="109" t="str">
        <x:v>theme-brand_event</x:v>
      </x:c>
      <x:c r="E27" s="43" t="str">
        <x:v>品牌事件下用于监测“节日营销”的正式标签</x:v>
      </x:c>
      <x:c r="F27" s="43" t="str">
        <x:v>action.level2_code equals seasonal_campaign</x:v>
      </x:c>
      <x:c r="G27" s="43" t="str">
        <x:v>只有文本提及但与事件动作无关，或来源不在品牌事实层</x:v>
      </x:c>
      <x:c r="H27" s="43" t="str">
        <x:v>瑞幸全冰节与全冰去水系列</x:v>
      </x:c>
      <x:c r="I27" s="43" t="str">
        <x:v>无可回读证据的模糊提及</x:v>
      </x:c>
      <x:c r="J27" s="109" t="str">
        <x:v>event</x:v>
      </x:c>
      <x:c r="K27" s="109" t="str">
        <x:v>brand</x:v>
      </x:c>
      <x:c r="L27" s="109" t="str">
        <x:v>multi</x:v>
      </x:c>
      <x:c r="M27" s="43" t="str">
        <x:v>确定性选择器+分析复核</x:v>
      </x:c>
      <x:c r="N27" s="43" t="str">
        <x:v>规则命中并复核</x:v>
      </x:c>
      <x:c r="O27" s="109" t="str">
        <x:v>active</x:v>
      </x:c>
      <x:c r="P27" s="109" t="str">
        <x:v>bi-tag-rule-v1.2</x:v>
      </x:c>
      <x:c r="Q27" s="193" t="n">
        <x:v>46224</x:v>
      </x:c>
      <x:c r="R27" s="43" t="str">
        <x:v>继承V1.1精选标签并补齐治理字段</x:v>
      </x:c>
    </x:row>
    <x:row r="28" ht="52" customHeight="1">
      <x:c r="A28" s="109" t="str">
        <x:v>brand-corporate-legal</x:v>
      </x:c>
      <x:c r="B28" s="109" t="str">
        <x:v>企业/法律/公共事务</x:v>
      </x:c>
      <x:c r="C28" s="109" t="str">
        <x:v>业务动作</x:v>
      </x:c>
      <x:c r="D28" s="109" t="str">
        <x:v>theme-brand_event</x:v>
      </x:c>
      <x:c r="E28" s="43" t="str">
        <x:v>品牌事件下用于监测“企业/法律/公共事务”的正式标签</x:v>
      </x:c>
      <x:c r="F28" s="43" t="str">
        <x:v>action.level2_code equals corporate_legal</x:v>
      </x:c>
      <x:c r="G28" s="43" t="str">
        <x:v>只有文本提及但与事件动作无关，或来源不在品牌事实层</x:v>
      </x:c>
      <x:c r="H28" s="43" t="str">
        <x:v>瑞幸泰国商标维权进展</x:v>
      </x:c>
      <x:c r="I28" s="43" t="str">
        <x:v>无可回读证据的模糊提及</x:v>
      </x:c>
      <x:c r="J28" s="109" t="str">
        <x:v>event</x:v>
      </x:c>
      <x:c r="K28" s="109" t="str">
        <x:v>brand</x:v>
      </x:c>
      <x:c r="L28" s="109" t="str">
        <x:v>multi</x:v>
      </x:c>
      <x:c r="M28" s="43" t="str">
        <x:v>确定性选择器+分析复核</x:v>
      </x:c>
      <x:c r="N28" s="43" t="str">
        <x:v>规则命中并复核</x:v>
      </x:c>
      <x:c r="O28" s="109" t="str">
        <x:v>active</x:v>
      </x:c>
      <x:c r="P28" s="109" t="str">
        <x:v>bi-tag-rule-v1.2</x:v>
      </x:c>
      <x:c r="Q28" s="193" t="n">
        <x:v>46224</x:v>
      </x:c>
      <x:c r="R28" s="43" t="str">
        <x:v>继承V1.1精选标签并补齐治理字段</x:v>
      </x:c>
    </x:row>
    <x:row r="29" ht="52" customHeight="1">
      <x:c r="A29" s="109" t="str">
        <x:v>brand-person</x:v>
      </x:c>
      <x:c r="B29" s="109" t="str">
        <x:v>人物传播</x:v>
      </x:c>
      <x:c r="C29" s="109" t="str">
        <x:v>业务动作</x:v>
      </x:c>
      <x:c r="D29" s="109" t="str">
        <x:v>theme-brand_event</x:v>
      </x:c>
      <x:c r="E29" s="43" t="str">
        <x:v>品牌事件下用于监测“人物传播”的正式标签</x:v>
      </x:c>
      <x:c r="F29" s="43" t="str">
        <x:v>action.level2_code equals spokesperson_person</x:v>
      </x:c>
      <x:c r="G29" s="43" t="str">
        <x:v>只有文本提及但与事件动作无关，或来源不在品牌事实层</x:v>
      </x:c>
      <x:c r="H29" s="43" t="str">
        <x:v>吴克群到访蜜雪冰城总部</x:v>
      </x:c>
      <x:c r="I29" s="43" t="str">
        <x:v>无可回读证据的模糊提及</x:v>
      </x:c>
      <x:c r="J29" s="109" t="str">
        <x:v>event</x:v>
      </x:c>
      <x:c r="K29" s="109" t="str">
        <x:v>brand</x:v>
      </x:c>
      <x:c r="L29" s="109" t="str">
        <x:v>multi</x:v>
      </x:c>
      <x:c r="M29" s="43" t="str">
        <x:v>确定性选择器+分析复核</x:v>
      </x:c>
      <x:c r="N29" s="43" t="str">
        <x:v>规则命中并复核</x:v>
      </x:c>
      <x:c r="O29" s="109" t="str">
        <x:v>active</x:v>
      </x:c>
      <x:c r="P29" s="109" t="str">
        <x:v>bi-tag-rule-v1.2</x:v>
      </x:c>
      <x:c r="Q29" s="193" t="n">
        <x:v>46224</x:v>
      </x:c>
      <x:c r="R29" s="43" t="str">
        <x:v>继承V1.1精选标签并补齐治理字段</x:v>
      </x:c>
    </x:row>
    <x:row r="30" ht="52" customHeight="1">
      <x:c r="A30" s="109" t="str">
        <x:v>brand-supply-chain</x:v>
      </x:c>
      <x:c r="B30" s="109" t="str">
        <x:v>原料/产区/供应链</x:v>
      </x:c>
      <x:c r="C30" s="109" t="str">
        <x:v>业务动作</x:v>
      </x:c>
      <x:c r="D30" s="109" t="str">
        <x:v>theme-brand_event</x:v>
      </x:c>
      <x:c r="E30" s="43" t="str">
        <x:v>品牌事件下用于监测“原料/产区/供应链”的正式标签</x:v>
      </x:c>
      <x:c r="F30" s="43" t="str">
        <x:v>action.level2_code equals origin_supply_chain</x:v>
      </x:c>
      <x:c r="G30" s="43" t="str">
        <x:v>只有文本提及但与事件动作无关，或来源不在品牌事实层</x:v>
      </x:c>
      <x:c r="H30" s="43" t="str">
        <x:v>瑞幸广西茉莉产区内容</x:v>
      </x:c>
      <x:c r="I30" s="43" t="str">
        <x:v>无可回读证据的模糊提及</x:v>
      </x:c>
      <x:c r="J30" s="109" t="str">
        <x:v>event</x:v>
      </x:c>
      <x:c r="K30" s="109" t="str">
        <x:v>brand</x:v>
      </x:c>
      <x:c r="L30" s="109" t="str">
        <x:v>multi</x:v>
      </x:c>
      <x:c r="M30" s="43" t="str">
        <x:v>确定性选择器+分析复核</x:v>
      </x:c>
      <x:c r="N30" s="43" t="str">
        <x:v>规则命中并复核</x:v>
      </x:c>
      <x:c r="O30" s="109" t="str">
        <x:v>active</x:v>
      </x:c>
      <x:c r="P30" s="109" t="str">
        <x:v>bi-tag-rule-v1.2</x:v>
      </x:c>
      <x:c r="Q30" s="193" t="n">
        <x:v>46224</x:v>
      </x:c>
      <x:c r="R30" s="43" t="str">
        <x:v>继承V1.1精选标签并补齐治理字段</x:v>
      </x:c>
    </x:row>
    <x:row r="31" ht="52" customHeight="1">
      <x:c r="A31" s="109" t="str">
        <x:v>brand-store-channel</x:v>
      </x:c>
      <x:c r="B31" s="109" t="str">
        <x:v>门店渠道</x:v>
      </x:c>
      <x:c r="C31" s="109" t="str">
        <x:v>业务动作</x:v>
      </x:c>
      <x:c r="D31" s="109" t="str">
        <x:v>theme-brand_event</x:v>
      </x:c>
      <x:c r="E31" s="43" t="str">
        <x:v>品牌事件下用于监测“门店渠道”的正式标签</x:v>
      </x:c>
      <x:c r="F31" s="43" t="str">
        <x:v>action.level2_code equals store_channel</x:v>
      </x:c>
      <x:c r="G31" s="43" t="str">
        <x:v>只有文本提及但与事件动作无关，或来源不在品牌事实层</x:v>
      </x:c>
      <x:c r="H31" s="43" t="str">
        <x:v>茶百道成都宽窄巷子旗舰店</x:v>
      </x:c>
      <x:c r="I31" s="43" t="str">
        <x:v>无可回读证据的模糊提及</x:v>
      </x:c>
      <x:c r="J31" s="109" t="str">
        <x:v>event</x:v>
      </x:c>
      <x:c r="K31" s="109" t="str">
        <x:v>brand</x:v>
      </x:c>
      <x:c r="L31" s="109" t="str">
        <x:v>multi</x:v>
      </x:c>
      <x:c r="M31" s="43" t="str">
        <x:v>确定性选择器+分析复核</x:v>
      </x:c>
      <x:c r="N31" s="43" t="str">
        <x:v>规则命中并复核</x:v>
      </x:c>
      <x:c r="O31" s="109" t="str">
        <x:v>active</x:v>
      </x:c>
      <x:c r="P31" s="109" t="str">
        <x:v>bi-tag-rule-v1.2</x:v>
      </x:c>
      <x:c r="Q31" s="193" t="n">
        <x:v>46224</x:v>
      </x:c>
      <x:c r="R31" s="43" t="str">
        <x:v>继承V1.1精选标签并补齐治理字段</x:v>
      </x:c>
    </x:row>
    <x:row r="32" ht="52" customHeight="1">
      <x:c r="A32" s="109" t="str">
        <x:v>product-routine-promotion</x:v>
      </x:c>
      <x:c r="B32" s="109" t="str">
        <x:v>常规产品传播</x:v>
      </x:c>
      <x:c r="C32" s="109" t="str">
        <x:v>业务动作</x:v>
      </x:c>
      <x:c r="D32" s="109" t="str">
        <x:v>theme-product_action</x:v>
      </x:c>
      <x:c r="E32" s="43" t="str">
        <x:v>围绕既有产品菜单、喝法或选择进行的常规传播，不属于新品上市</x:v>
      </x:c>
      <x:c r="F32" s="43" t="str">
        <x:v>action.level2_code=routine_promotion且官方正文明确展示产品</x:v>
      </x:c>
      <x:c r="G32" s="43" t="str">
        <x:v>没有具体产品、纯企业事务或仅第三方转述</x:v>
      </x:c>
      <x:c r="H32" s="43" t="str">
        <x:v>茶百道咖啡产品集合</x:v>
      </x:c>
      <x:c r="I32" s="43" t="str">
        <x:v>仅品牌态度表达</x:v>
      </x:c>
      <x:c r="J32" s="109" t="str">
        <x:v>event</x:v>
      </x:c>
      <x:c r="K32" s="109" t="str">
        <x:v>brand</x:v>
      </x:c>
      <x:c r="L32" s="109" t="str">
        <x:v>multi</x:v>
      </x:c>
      <x:c r="M32" s="43" t="str">
        <x:v>确定性动作码+V1.2复核</x:v>
      </x:c>
      <x:c r="N32" s="43" t="str">
        <x:v>官方正文明确</x:v>
      </x:c>
      <x:c r="O32" s="109" t="str">
        <x:v>active</x:v>
      </x:c>
      <x:c r="P32" s="109" t="str">
        <x:v>bi-tag-rule-v1.2</x:v>
      </x:c>
      <x:c r="Q32" s="193" t="n">
        <x:v>46224</x:v>
      </x:c>
      <x:c r="R32" s="43" t="str">
        <x:v>V1.2复核补充，避免咖啡菜单事件无正式标签</x:v>
      </x:c>
    </x:row>
    <x:row r="33" ht="52" customHeight="1">
      <x:c r="A33" s="109" t="str">
        <x:v>category-drinkware</x:v>
      </x:c>
      <x:c r="B33" s="109" t="str">
        <x:v>杯具</x:v>
      </x:c>
      <x:c r="C33" s="109" t="str">
        <x:v>产品品类</x:v>
      </x:c>
      <x:c r="D33" s="109" t="str">
        <x:v>category-level1-merch_packaging</x:v>
      </x:c>
      <x:c r="E33" s="43" t="str">
        <x:v>周边包材下的标准二级品类：杯具</x:v>
      </x:c>
      <x:c r="F33" s="43" t="str">
        <x:v>event.product_categories.level2_code=drinkware</x:v>
      </x:c>
      <x:c r="G33" s="43" t="str">
        <x:v>正文无具体产品证据，或应归入非产品内容</x:v>
      </x:c>
      <x:c r="H33" s="43" t="str">
        <x:v>库迪咖啡 ×《蜘蛛侠：崭新之日》</x:v>
      </x:c>
      <x:c r="I33" s="43" t="str">
        <x:v>仅品牌态度或企业事务</x:v>
      </x:c>
      <x:c r="J33" s="109" t="str">
        <x:v>event</x:v>
      </x:c>
      <x:c r="K33" s="109" t="str">
        <x:v>brand</x:v>
      </x:c>
      <x:c r="L33" s="109" t="str">
        <x:v>multi</x:v>
      </x:c>
      <x:c r="M33" s="43" t="str">
        <x:v>品类规则+V1.2复核</x:v>
      </x:c>
      <x:c r="N33" s="43" t="str">
        <x:v>官方正文明确</x:v>
      </x:c>
      <x:c r="O33" s="109" t="str">
        <x:v>active</x:v>
      </x:c>
      <x:c r="P33" s="109" t="str">
        <x:v>bi-tag-rule-v1.2</x:v>
      </x:c>
      <x:c r="Q33" s="193" t="n">
        <x:v>46224</x:v>
      </x:c>
      <x:c r="R33" s="43" t="str">
        <x:v>V1.2补齐事实表已引用的正式品类标签</x:v>
      </x:c>
    </x:row>
    <x:row r="34" ht="52" customHeight="1">
      <x:c r="A34" s="109" t="str">
        <x:v>category-slush_ice_drink</x:v>
      </x:c>
      <x:c r="B34" s="109" t="str">
        <x:v>冰沙／冰饮</x:v>
      </x:c>
      <x:c r="C34" s="109" t="str">
        <x:v>产品品类</x:v>
      </x:c>
      <x:c r="D34" s="109" t="str">
        <x:v>category-level1-frozen_dessert</x:v>
      </x:c>
      <x:c r="E34" s="43" t="str">
        <x:v>冰品甜品下的标准二级品类：冰沙／冰饮</x:v>
      </x:c>
      <x:c r="F34" s="43" t="str">
        <x:v>event.product_categories.level2_code=slush_ice_drink</x:v>
      </x:c>
      <x:c r="G34" s="43" t="str">
        <x:v>正文无具体产品证据，或应归入非产品内容</x:v>
      </x:c>
      <x:c r="H34" s="43" t="str">
        <x:v>茶百道遥远的相似性互动</x:v>
      </x:c>
      <x:c r="I34" s="43" t="str">
        <x:v>仅品牌态度或企业事务</x:v>
      </x:c>
      <x:c r="J34" s="109" t="str">
        <x:v>event</x:v>
      </x:c>
      <x:c r="K34" s="109" t="str">
        <x:v>brand</x:v>
      </x:c>
      <x:c r="L34" s="109" t="str">
        <x:v>multi</x:v>
      </x:c>
      <x:c r="M34" s="43" t="str">
        <x:v>品类规则+V1.2复核</x:v>
      </x:c>
      <x:c r="N34" s="43" t="str">
        <x:v>官方正文明确</x:v>
      </x:c>
      <x:c r="O34" s="109" t="str">
        <x:v>active</x:v>
      </x:c>
      <x:c r="P34" s="109" t="str">
        <x:v>bi-tag-rule-v1.2</x:v>
      </x:c>
      <x:c r="Q34" s="193" t="n">
        <x:v>46224</x:v>
      </x:c>
      <x:c r="R34" s="43" t="str">
        <x:v>V1.2补齐事实表已引用的正式品类标签</x:v>
      </x:c>
    </x:row>
    <x:row r="35" ht="52" customHeight="1">
      <x:c r="A35" s="109" t="str">
        <x:v>category-tea_specialty</x:v>
      </x:c>
      <x:c r="B35" s="109" t="str">
        <x:v>茶基底特调</x:v>
      </x:c>
      <x:c r="C35" s="109" t="str">
        <x:v>产品品类</x:v>
      </x:c>
      <x:c r="D35" s="109" t="str">
        <x:v>category-level1-tea</x:v>
      </x:c>
      <x:c r="E35" s="43" t="str">
        <x:v>茶饮下的标准二级品类：茶基底特调</x:v>
      </x:c>
      <x:c r="F35" s="43" t="str">
        <x:v>event.product_categories.level2_code=tea_specialty</x:v>
      </x:c>
      <x:c r="G35" s="43" t="str">
        <x:v>正文无具体产品证据，或应归入非产品内容</x:v>
      </x:c>
      <x:c r="H35" s="43" t="str">
        <x:v>蜜雪冰城黄桃果霸系列回归</x:v>
      </x:c>
      <x:c r="I35" s="43" t="str">
        <x:v>仅品牌态度或企业事务</x:v>
      </x:c>
      <x:c r="J35" s="109" t="str">
        <x:v>event</x:v>
      </x:c>
      <x:c r="K35" s="109" t="str">
        <x:v>brand</x:v>
      </x:c>
      <x:c r="L35" s="109" t="str">
        <x:v>multi</x:v>
      </x:c>
      <x:c r="M35" s="43" t="str">
        <x:v>品类规则+V1.2复核</x:v>
      </x:c>
      <x:c r="N35" s="43" t="str">
        <x:v>官方正文明确</x:v>
      </x:c>
      <x:c r="O35" s="109" t="str">
        <x:v>active</x:v>
      </x:c>
      <x:c r="P35" s="109" t="str">
        <x:v>bi-tag-rule-v1.2</x:v>
      </x:c>
      <x:c r="Q35" s="193" t="n">
        <x:v>46224</x:v>
      </x:c>
      <x:c r="R35" s="43" t="str">
        <x:v>V1.2补齐事实表已引用的正式品类标签</x:v>
      </x:c>
    </x:row>
    <x:row r="36" ht="52" customHeight="1">
      <x:c r="A36" s="109" t="str">
        <x:v>category-pure_tea</x:v>
      </x:c>
      <x:c r="B36" s="109" t="str">
        <x:v>纯茶</x:v>
      </x:c>
      <x:c r="C36" s="109" t="str">
        <x:v>产品品类</x:v>
      </x:c>
      <x:c r="D36" s="109" t="str">
        <x:v>category-level1-tea</x:v>
      </x:c>
      <x:c r="E36" s="43" t="str">
        <x:v>茶饮下的标准二级品类：纯茶</x:v>
      </x:c>
      <x:c r="F36" s="43" t="str">
        <x:v>event.product_categories.level2_code=pure_tea</x:v>
      </x:c>
      <x:c r="G36" s="43" t="str">
        <x:v>正文无具体产品证据，或应归入非产品内容</x:v>
      </x:c>
      <x:c r="H36" s="43" t="str">
        <x:v>霸王茶姬 × 王者荣耀</x:v>
      </x:c>
      <x:c r="I36" s="43" t="str">
        <x:v>仅品牌态度或企业事务</x:v>
      </x:c>
      <x:c r="J36" s="109" t="str">
        <x:v>event</x:v>
      </x:c>
      <x:c r="K36" s="109" t="str">
        <x:v>brand</x:v>
      </x:c>
      <x:c r="L36" s="109" t="str">
        <x:v>multi</x:v>
      </x:c>
      <x:c r="M36" s="43" t="str">
        <x:v>品类规则+V1.2复核</x:v>
      </x:c>
      <x:c r="N36" s="43" t="str">
        <x:v>官方正文明确</x:v>
      </x:c>
      <x:c r="O36" s="109" t="str">
        <x:v>active</x:v>
      </x:c>
      <x:c r="P36" s="109" t="str">
        <x:v>bi-tag-rule-v1.2</x:v>
      </x:c>
      <x:c r="Q36" s="193" t="n">
        <x:v>46224</x:v>
      </x:c>
      <x:c r="R36" s="43" t="str">
        <x:v>V1.2补齐事实表已引用的正式品类标签</x:v>
      </x:c>
    </x:row>
    <x:row r="37" ht="52" customHeight="1">
      <x:c r="A37" s="109" t="str">
        <x:v>category-non_product</x:v>
      </x:c>
      <x:c r="B37" s="109" t="str">
        <x:v>非产品内容</x:v>
      </x:c>
      <x:c r="C37" s="109" t="str">
        <x:v>产品品类</x:v>
      </x:c>
      <x:c r="D37" s="109" t="str">
        <x:v>category-level1-non_product</x:v>
      </x:c>
      <x:c r="E37" s="43" t="str">
        <x:v>非产品内容下的标准二级品类：非产品内容</x:v>
      </x:c>
      <x:c r="F37" s="43" t="str">
        <x:v>event.product_categories.level2_code=non_product</x:v>
      </x:c>
      <x:c r="G37" s="43" t="str">
        <x:v>正文无具体产品证据，或应归入非产品内容</x:v>
      </x:c>
      <x:c r="H37" s="43" t="str">
        <x:v>瑞幸泰国商标维权进展</x:v>
      </x:c>
      <x:c r="I37" s="43" t="str">
        <x:v>仅品牌态度或企业事务</x:v>
      </x:c>
      <x:c r="J37" s="109" t="str">
        <x:v>event</x:v>
      </x:c>
      <x:c r="K37" s="109" t="str">
        <x:v>brand</x:v>
      </x:c>
      <x:c r="L37" s="109" t="str">
        <x:v>multi</x:v>
      </x:c>
      <x:c r="M37" s="43" t="str">
        <x:v>品类规则+V1.2复核</x:v>
      </x:c>
      <x:c r="N37" s="43" t="str">
        <x:v>官方正文明确</x:v>
      </x:c>
      <x:c r="O37" s="109" t="str">
        <x:v>active</x:v>
      </x:c>
      <x:c r="P37" s="109" t="str">
        <x:v>bi-tag-rule-v1.2</x:v>
      </x:c>
      <x:c r="Q37" s="193" t="n">
        <x:v>46224</x:v>
      </x:c>
      <x:c r="R37" s="43" t="str">
        <x:v>V1.2补齐事实表已引用的正式品类标签</x:v>
      </x:c>
    </x:row>
    <x:row r="38" ht="52" customHeight="1">
      <x:c r="A38" s="109" t="str">
        <x:v>category-flavored_specialty</x:v>
      </x:c>
      <x:c r="B38" s="109" t="str">
        <x:v>风味特调咖啡</x:v>
      </x:c>
      <x:c r="C38" s="109" t="str">
        <x:v>产品品类</x:v>
      </x:c>
      <x:c r="D38" s="109" t="str">
        <x:v>category-level1-coffee</x:v>
      </x:c>
      <x:c r="E38" s="43" t="str">
        <x:v>咖啡下的标准二级品类：风味特调咖啡</x:v>
      </x:c>
      <x:c r="F38" s="43" t="str">
        <x:v>event.product_categories.level2_code=flavored_specialty</x:v>
      </x:c>
      <x:c r="G38" s="43" t="str">
        <x:v>正文无具体产品证据，或应归入非产品内容</x:v>
      </x:c>
      <x:c r="H38" s="43" t="str">
        <x:v>库迪咖啡 ×《蜘蛛侠：崭新之日》</x:v>
      </x:c>
      <x:c r="I38" s="43" t="str">
        <x:v>仅品牌态度或企业事务</x:v>
      </x:c>
      <x:c r="J38" s="109" t="str">
        <x:v>event</x:v>
      </x:c>
      <x:c r="K38" s="109" t="str">
        <x:v>brand</x:v>
      </x:c>
      <x:c r="L38" s="109" t="str">
        <x:v>multi</x:v>
      </x:c>
      <x:c r="M38" s="43" t="str">
        <x:v>品类规则+V1.2复核</x:v>
      </x:c>
      <x:c r="N38" s="43" t="str">
        <x:v>官方正文明确</x:v>
      </x:c>
      <x:c r="O38" s="109" t="str">
        <x:v>active</x:v>
      </x:c>
      <x:c r="P38" s="109" t="str">
        <x:v>bi-tag-rule-v1.2</x:v>
      </x:c>
      <x:c r="Q38" s="193" t="n">
        <x:v>46224</x:v>
      </x:c>
      <x:c r="R38" s="43" t="str">
        <x:v>V1.2补齐事实表已引用的正式品类标签</x:v>
      </x:c>
    </x:row>
    <x:row r="39" ht="52" customHeight="1">
      <x:c r="A39" s="109" t="str">
        <x:v>category-fruit_tea</x:v>
      </x:c>
      <x:c r="B39" s="109" t="str">
        <x:v>果茶／果饮</x:v>
      </x:c>
      <x:c r="C39" s="109" t="str">
        <x:v>产品品类</x:v>
      </x:c>
      <x:c r="D39" s="109" t="str">
        <x:v>category-level1-tea</x:v>
      </x:c>
      <x:c r="E39" s="43" t="str">
        <x:v>茶饮下的标准二级品类：果茶／果饮</x:v>
      </x:c>
      <x:c r="F39" s="43" t="str">
        <x:v>event.product_categories.level2_code=fruit_tea</x:v>
      </x:c>
      <x:c r="G39" s="43" t="str">
        <x:v>正文无具体产品证据，或应归入非产品内容</x:v>
      </x:c>
      <x:c r="H39" s="43" t="str">
        <x:v>蜜雪冰城黄桃果霸系列回归</x:v>
      </x:c>
      <x:c r="I39" s="43" t="str">
        <x:v>仅品牌态度或企业事务</x:v>
      </x:c>
      <x:c r="J39" s="109" t="str">
        <x:v>event</x:v>
      </x:c>
      <x:c r="K39" s="109" t="str">
        <x:v>brand</x:v>
      </x:c>
      <x:c r="L39" s="109" t="str">
        <x:v>multi</x:v>
      </x:c>
      <x:c r="M39" s="43" t="str">
        <x:v>品类规则+V1.2复核</x:v>
      </x:c>
      <x:c r="N39" s="43" t="str">
        <x:v>官方正文明确</x:v>
      </x:c>
      <x:c r="O39" s="109" t="str">
        <x:v>active</x:v>
      </x:c>
      <x:c r="P39" s="109" t="str">
        <x:v>bi-tag-rule-v1.2</x:v>
      </x:c>
      <x:c r="Q39" s="193" t="n">
        <x:v>46224</x:v>
      </x:c>
      <x:c r="R39" s="43" t="str">
        <x:v>V1.2补齐事实表已引用的正式品类标签</x:v>
      </x:c>
    </x:row>
    <x:row r="40" ht="52" customHeight="1">
      <x:c r="A40" s="109" t="str">
        <x:v>category-fruit_tea_coffee</x:v>
      </x:c>
      <x:c r="B40" s="109" t="str">
        <x:v>果咖／茶咖</x:v>
      </x:c>
      <x:c r="C40" s="109" t="str">
        <x:v>产品品类</x:v>
      </x:c>
      <x:c r="D40" s="109" t="str">
        <x:v>category-level1-coffee</x:v>
      </x:c>
      <x:c r="E40" s="43" t="str">
        <x:v>咖啡下的标准二级品类：果咖／茶咖</x:v>
      </x:c>
      <x:c r="F40" s="43" t="str">
        <x:v>event.product_categories.level2_code=fruit_tea_coffee</x:v>
      </x:c>
      <x:c r="G40" s="43" t="str">
        <x:v>正文无具体产品证据，或应归入非产品内容</x:v>
      </x:c>
      <x:c r="H40" s="43" t="str">
        <x:v>库迪咖啡 ×《蜘蛛侠：崭新之日》</x:v>
      </x:c>
      <x:c r="I40" s="43" t="str">
        <x:v>仅品牌态度或企业事务</x:v>
      </x:c>
      <x:c r="J40" s="109" t="str">
        <x:v>event</x:v>
      </x:c>
      <x:c r="K40" s="109" t="str">
        <x:v>brand</x:v>
      </x:c>
      <x:c r="L40" s="109" t="str">
        <x:v>multi</x:v>
      </x:c>
      <x:c r="M40" s="43" t="str">
        <x:v>品类规则+V1.2复核</x:v>
      </x:c>
      <x:c r="N40" s="43" t="str">
        <x:v>官方正文明确</x:v>
      </x:c>
      <x:c r="O40" s="109" t="str">
        <x:v>active</x:v>
      </x:c>
      <x:c r="P40" s="109" t="str">
        <x:v>bi-tag-rule-v1.2</x:v>
      </x:c>
      <x:c r="Q40" s="193" t="n">
        <x:v>46224</x:v>
      </x:c>
      <x:c r="R40" s="43" t="str">
        <x:v>V1.2补齐事实表已引用的正式品类标签</x:v>
      </x:c>
    </x:row>
    <x:row r="41" ht="52" customHeight="1">
      <x:c r="A41" s="109" t="str">
        <x:v>category-badge_magnet_sticker_card</x:v>
      </x:c>
      <x:c r="B41" s="109" t="str">
        <x:v>徽章／冰箱贴／贴纸／卡片</x:v>
      </x:c>
      <x:c r="C41" s="109" t="str">
        <x:v>产品品类</x:v>
      </x:c>
      <x:c r="D41" s="109" t="str">
        <x:v>category-level1-merch_packaging</x:v>
      </x:c>
      <x:c r="E41" s="43" t="str">
        <x:v>周边包材下的标准二级品类：徽章／冰箱贴／贴纸／卡片</x:v>
      </x:c>
      <x:c r="F41" s="43" t="str">
        <x:v>event.product_categories.level2_code=badge_magnet_sticker_card</x:v>
      </x:c>
      <x:c r="G41" s="43" t="str">
        <x:v>正文无具体产品证据，或应归入非产品内容</x:v>
      </x:c>
      <x:c r="H41" s="43" t="str">
        <x:v>霸王茶姬 × 王者荣耀</x:v>
      </x:c>
      <x:c r="I41" s="43" t="str">
        <x:v>仅品牌态度或企业事务</x:v>
      </x:c>
      <x:c r="J41" s="109" t="str">
        <x:v>event</x:v>
      </x:c>
      <x:c r="K41" s="109" t="str">
        <x:v>brand</x:v>
      </x:c>
      <x:c r="L41" s="109" t="str">
        <x:v>multi</x:v>
      </x:c>
      <x:c r="M41" s="43" t="str">
        <x:v>品类规则+V1.2复核</x:v>
      </x:c>
      <x:c r="N41" s="43" t="str">
        <x:v>官方正文明确</x:v>
      </x:c>
      <x:c r="O41" s="109" t="str">
        <x:v>active</x:v>
      </x:c>
      <x:c r="P41" s="109" t="str">
        <x:v>bi-tag-rule-v1.2</x:v>
      </x:c>
      <x:c r="Q41" s="193" t="n">
        <x:v>46224</x:v>
      </x:c>
      <x:c r="R41" s="43" t="str">
        <x:v>V1.2补齐事实表已引用的正式品类标签</x:v>
      </x:c>
    </x:row>
    <x:row r="42" ht="52" customHeight="1">
      <x:c r="A42" s="109" t="str">
        <x:v>category-cold_brew</x:v>
      </x:c>
      <x:c r="B42" s="109" t="str">
        <x:v>冷萃</x:v>
      </x:c>
      <x:c r="C42" s="109" t="str">
        <x:v>产品品类</x:v>
      </x:c>
      <x:c r="D42" s="109" t="str">
        <x:v>category-level1-coffee</x:v>
      </x:c>
      <x:c r="E42" s="43" t="str">
        <x:v>咖啡下的标准二级品类：冷萃</x:v>
      </x:c>
      <x:c r="F42" s="43" t="str">
        <x:v>event.product_categories.level2_code=cold_brew</x:v>
      </x:c>
      <x:c r="G42" s="43" t="str">
        <x:v>正文无具体产品证据，或应归入非产品内容</x:v>
      </x:c>
      <x:c r="H42" s="43" t="str">
        <x:v>瑞幸咖啡 × Crocs 夏日联名</x:v>
      </x:c>
      <x:c r="I42" s="43" t="str">
        <x:v>仅品牌态度或企业事务</x:v>
      </x:c>
      <x:c r="J42" s="109" t="str">
        <x:v>event</x:v>
      </x:c>
      <x:c r="K42" s="109" t="str">
        <x:v>brand</x:v>
      </x:c>
      <x:c r="L42" s="109" t="str">
        <x:v>multi</x:v>
      </x:c>
      <x:c r="M42" s="43" t="str">
        <x:v>品类规则+V1.2复核</x:v>
      </x:c>
      <x:c r="N42" s="43" t="str">
        <x:v>官方正文明确</x:v>
      </x:c>
      <x:c r="O42" s="109" t="str">
        <x:v>active</x:v>
      </x:c>
      <x:c r="P42" s="109" t="str">
        <x:v>bi-tag-rule-v1.2</x:v>
      </x:c>
      <x:c r="Q42" s="193" t="n">
        <x:v>46224</x:v>
      </x:c>
      <x:c r="R42" s="43" t="str">
        <x:v>V1.2补齐事实表已引用的正式品类标签</x:v>
      </x:c>
    </x:row>
    <x:row r="43" ht="52" customHeight="1">
      <x:c r="A43" s="109" t="str">
        <x:v>category-americano_black</x:v>
      </x:c>
      <x:c r="B43" s="109" t="str">
        <x:v>美式／黑咖</x:v>
      </x:c>
      <x:c r="C43" s="109" t="str">
        <x:v>产品品类</x:v>
      </x:c>
      <x:c r="D43" s="109" t="str">
        <x:v>category-level1-coffee</x:v>
      </x:c>
      <x:c r="E43" s="43" t="str">
        <x:v>咖啡下的标准二级品类：美式／黑咖</x:v>
      </x:c>
      <x:c r="F43" s="43" t="str">
        <x:v>event.product_categories.level2_code=americano_black</x:v>
      </x:c>
      <x:c r="G43" s="43" t="str">
        <x:v>正文无具体产品证据，或应归入非产品内容</x:v>
      </x:c>
      <x:c r="H43" s="43" t="str">
        <x:v>瑞幸全冰节与全冰去水系列</x:v>
      </x:c>
      <x:c r="I43" s="43" t="str">
        <x:v>仅品牌态度或企业事务</x:v>
      </x:c>
      <x:c r="J43" s="109" t="str">
        <x:v>event</x:v>
      </x:c>
      <x:c r="K43" s="109" t="str">
        <x:v>brand</x:v>
      </x:c>
      <x:c r="L43" s="109" t="str">
        <x:v>multi</x:v>
      </x:c>
      <x:c r="M43" s="43" t="str">
        <x:v>品类规则+V1.2复核</x:v>
      </x:c>
      <x:c r="N43" s="43" t="str">
        <x:v>官方正文明确</x:v>
      </x:c>
      <x:c r="O43" s="109" t="str">
        <x:v>active</x:v>
      </x:c>
      <x:c r="P43" s="109" t="str">
        <x:v>bi-tag-rule-v1.2</x:v>
      </x:c>
      <x:c r="Q43" s="193" t="n">
        <x:v>46224</x:v>
      </x:c>
      <x:c r="R43" s="43" t="str">
        <x:v>V1.2补齐事实表已引用的正式品类标签</x:v>
      </x:c>
    </x:row>
    <x:row r="44" ht="52" customHeight="1">
      <x:c r="A44" s="109" t="str">
        <x:v>category-milk_coffee</x:v>
      </x:c>
      <x:c r="B44" s="109" t="str">
        <x:v>奶咖</x:v>
      </x:c>
      <x:c r="C44" s="109" t="str">
        <x:v>产品品类</x:v>
      </x:c>
      <x:c r="D44" s="109" t="str">
        <x:v>category-level1-coffee</x:v>
      </x:c>
      <x:c r="E44" s="43" t="str">
        <x:v>咖啡下的标准二级品类：奶咖</x:v>
      </x:c>
      <x:c r="F44" s="43" t="str">
        <x:v>event.product_categories.level2_code=milk_coffee</x:v>
      </x:c>
      <x:c r="G44" s="43" t="str">
        <x:v>正文无具体产品证据，或应归入非产品内容</x:v>
      </x:c>
      <x:c r="H44" s="43" t="str">
        <x:v>茶百道咖啡产品集合</x:v>
      </x:c>
      <x:c r="I44" s="43" t="str">
        <x:v>仅品牌态度或企业事务</x:v>
      </x:c>
      <x:c r="J44" s="109" t="str">
        <x:v>event</x:v>
      </x:c>
      <x:c r="K44" s="109" t="str">
        <x:v>brand</x:v>
      </x:c>
      <x:c r="L44" s="109" t="str">
        <x:v>multi</x:v>
      </x:c>
      <x:c r="M44" s="43" t="str">
        <x:v>品类规则+V1.2复核</x:v>
      </x:c>
      <x:c r="N44" s="43" t="str">
        <x:v>官方正文明确</x:v>
      </x:c>
      <x:c r="O44" s="109" t="str">
        <x:v>active</x:v>
      </x:c>
      <x:c r="P44" s="109" t="str">
        <x:v>bi-tag-rule-v1.2</x:v>
      </x:c>
      <x:c r="Q44" s="193" t="n">
        <x:v>46224</x:v>
      </x:c>
      <x:c r="R44" s="43" t="str">
        <x:v>V1.2补齐事实表已引用的正式品类标签</x:v>
      </x:c>
    </x:row>
    <x:row r="45" ht="52" customHeight="1">
      <x:c r="A45" s="109" t="str">
        <x:v>category-other_beverage</x:v>
      </x:c>
      <x:c r="B45" s="109" t="str">
        <x:v>其他饮品</x:v>
      </x:c>
      <x:c r="C45" s="109" t="str">
        <x:v>产品品类</x:v>
      </x:c>
      <x:c r="D45" s="109" t="str">
        <x:v>category-level1-other_beverage</x:v>
      </x:c>
      <x:c r="E45" s="43" t="str">
        <x:v>其他饮品下的标准二级品类：其他饮品</x:v>
      </x:c>
      <x:c r="F45" s="43" t="str">
        <x:v>event.product_categories.level2_code=other_beverage</x:v>
      </x:c>
      <x:c r="G45" s="43" t="str">
        <x:v>正文无具体产品证据，或应归入非产品内容</x:v>
      </x:c>
      <x:c r="H45" s="43" t="str">
        <x:v>沪上阿姨绿豆冰升级回归</x:v>
      </x:c>
      <x:c r="I45" s="43" t="str">
        <x:v>仅品牌态度或企业事务</x:v>
      </x:c>
      <x:c r="J45" s="109" t="str">
        <x:v>event</x:v>
      </x:c>
      <x:c r="K45" s="109" t="str">
        <x:v>brand</x:v>
      </x:c>
      <x:c r="L45" s="109" t="str">
        <x:v>multi</x:v>
      </x:c>
      <x:c r="M45" s="43" t="str">
        <x:v>品类规则+V1.2复核</x:v>
      </x:c>
      <x:c r="N45" s="43" t="str">
        <x:v>官方正文明确</x:v>
      </x:c>
      <x:c r="O45" s="109" t="str">
        <x:v>active</x:v>
      </x:c>
      <x:c r="P45" s="109" t="str">
        <x:v>bi-tag-rule-v1.2</x:v>
      </x:c>
      <x:c r="Q45" s="193" t="n">
        <x:v>46224</x:v>
      </x:c>
      <x:c r="R45" s="43" t="str">
        <x:v>V1.2补齐事实表已引用的正式品类标签</x:v>
      </x:c>
    </x:row>
    <x:row r="46" ht="52" customHeight="1">
      <x:c r="A46" s="109" t="str">
        <x:v>category-other_merchandise</x:v>
      </x:c>
      <x:c r="B46" s="109" t="str">
        <x:v>其他周边</x:v>
      </x:c>
      <x:c r="C46" s="109" t="str">
        <x:v>产品品类</x:v>
      </x:c>
      <x:c r="D46" s="109" t="str">
        <x:v>category-level1-merch_packaging</x:v>
      </x:c>
      <x:c r="E46" s="43" t="str">
        <x:v>周边包材下的标准二级品类：其他周边</x:v>
      </x:c>
      <x:c r="F46" s="43" t="str">
        <x:v>event.product_categories.level2_code=other_merchandise</x:v>
      </x:c>
      <x:c r="G46" s="43" t="str">
        <x:v>正文无具体产品证据，或应归入非产品内容</x:v>
      </x:c>
      <x:c r="H46" s="43" t="str">
        <x:v>霸王茶姬 × 王者荣耀</x:v>
      </x:c>
      <x:c r="I46" s="43" t="str">
        <x:v>仅品牌态度或企业事务</x:v>
      </x:c>
      <x:c r="J46" s="109" t="str">
        <x:v>event</x:v>
      </x:c>
      <x:c r="K46" s="109" t="str">
        <x:v>brand</x:v>
      </x:c>
      <x:c r="L46" s="109" t="str">
        <x:v>multi</x:v>
      </x:c>
      <x:c r="M46" s="43" t="str">
        <x:v>品类规则+V1.2复核</x:v>
      </x:c>
      <x:c r="N46" s="43" t="str">
        <x:v>官方正文明确</x:v>
      </x:c>
      <x:c r="O46" s="109" t="str">
        <x:v>active</x:v>
      </x:c>
      <x:c r="P46" s="109" t="str">
        <x:v>bi-tag-rule-v1.2</x:v>
      </x:c>
      <x:c r="Q46" s="193" t="n">
        <x:v>46224</x:v>
      </x:c>
      <x:c r="R46" s="43" t="str">
        <x:v>V1.2补齐事实表已引用的正式品类标签</x:v>
      </x:c>
    </x:row>
    <x:row r="47" ht="52" customHeight="1">
      <x:c r="A47" s="109" t="str">
        <x:v>category-yogurt_fermented</x:v>
      </x:c>
      <x:c r="B47" s="109" t="str">
        <x:v>酸奶／发酵乳</x:v>
      </x:c>
      <x:c r="C47" s="109" t="str">
        <x:v>产品品类</x:v>
      </x:c>
      <x:c r="D47" s="109" t="str">
        <x:v>category-level1-other_beverage</x:v>
      </x:c>
      <x:c r="E47" s="43" t="str">
        <x:v>其他饮品下的标准二级品类：酸奶／发酵乳</x:v>
      </x:c>
      <x:c r="F47" s="43" t="str">
        <x:v>event.product_categories.level2_code=yogurt_fermented</x:v>
      </x:c>
      <x:c r="G47" s="43" t="str">
        <x:v>正文无具体产品证据，或应归入非产品内容</x:v>
      </x:c>
      <x:c r="H47" s="43" t="str">
        <x:v>茶百道夏日柑橘系列</x:v>
      </x:c>
      <x:c r="I47" s="43" t="str">
        <x:v>仅品牌态度或企业事务</x:v>
      </x:c>
      <x:c r="J47" s="109" t="str">
        <x:v>event</x:v>
      </x:c>
      <x:c r="K47" s="109" t="str">
        <x:v>brand</x:v>
      </x:c>
      <x:c r="L47" s="109" t="str">
        <x:v>multi</x:v>
      </x:c>
      <x:c r="M47" s="43" t="str">
        <x:v>品类规则+V1.2复核</x:v>
      </x:c>
      <x:c r="N47" s="43" t="str">
        <x:v>官方正文明确</x:v>
      </x:c>
      <x:c r="O47" s="109" t="str">
        <x:v>active</x:v>
      </x:c>
      <x:c r="P47" s="109" t="str">
        <x:v>bi-tag-rule-v1.2</x:v>
      </x:c>
      <x:c r="Q47" s="193" t="n">
        <x:v>46224</x:v>
      </x:c>
      <x:c r="R47" s="43" t="str">
        <x:v>V1.2补齐事实表已引用的正式品类标签</x:v>
      </x:c>
    </x:row>
    <x:row r="48" ht="52" customHeight="1">
      <x:c r="A48" s="109" t="str">
        <x:v>category-fresh_milk_tea</x:v>
      </x:c>
      <x:c r="B48" s="109" t="str">
        <x:v>鲜奶茶／轻乳茶</x:v>
      </x:c>
      <x:c r="C48" s="109" t="str">
        <x:v>产品品类</x:v>
      </x:c>
      <x:c r="D48" s="109" t="str">
        <x:v>category-level1-tea</x:v>
      </x:c>
      <x:c r="E48" s="43" t="str">
        <x:v>茶饮下的标准二级品类：鲜奶茶／轻乳茶</x:v>
      </x:c>
      <x:c r="F48" s="43" t="str">
        <x:v>event.product_categories.level2_code=fresh_milk_tea</x:v>
      </x:c>
      <x:c r="G48" s="43" t="str">
        <x:v>正文无具体产品证据，或应归入非产品内容</x:v>
      </x:c>
      <x:c r="H48" s="43" t="str">
        <x:v>茉莉奶白滇西特调上新</x:v>
      </x:c>
      <x:c r="I48" s="43" t="str">
        <x:v>仅品牌态度或企业事务</x:v>
      </x:c>
      <x:c r="J48" s="109" t="str">
        <x:v>event</x:v>
      </x:c>
      <x:c r="K48" s="109" t="str">
        <x:v>brand</x:v>
      </x:c>
      <x:c r="L48" s="109" t="str">
        <x:v>multi</x:v>
      </x:c>
      <x:c r="M48" s="43" t="str">
        <x:v>品类规则+V1.2复核</x:v>
      </x:c>
      <x:c r="N48" s="43" t="str">
        <x:v>官方正文明确</x:v>
      </x:c>
      <x:c r="O48" s="109" t="str">
        <x:v>active</x:v>
      </x:c>
      <x:c r="P48" s="109" t="str">
        <x:v>bi-tag-rule-v1.2</x:v>
      </x:c>
      <x:c r="Q48" s="193" t="n">
        <x:v>46224</x:v>
      </x:c>
      <x:c r="R48" s="43" t="str">
        <x:v>V1.2补齐事实表已引用的正式品类标签</x:v>
      </x:c>
    </x:row>
    <x:row r="49" ht="52" customHeight="1">
      <x:c r="A49" s="109" t="str">
        <x:v>category-gelato_shaved</x:v>
      </x:c>
      <x:c r="B49" s="109" t="str">
        <x:v>Gelato／炒冰</x:v>
      </x:c>
      <x:c r="C49" s="109" t="str">
        <x:v>产品品类</x:v>
      </x:c>
      <x:c r="D49" s="109" t="str">
        <x:v>category-level1-frozen_dessert</x:v>
      </x:c>
      <x:c r="E49" s="43" t="str">
        <x:v>冰品甜品下的标准二级品类：Gelato／炒冰</x:v>
      </x:c>
      <x:c r="F49" s="43" t="str">
        <x:v>event.product_categories.level2_code=gelato_shaved</x:v>
      </x:c>
      <x:c r="G49" s="43" t="str">
        <x:v>正文无具体产品证据，或应归入非产品内容</x:v>
      </x:c>
      <x:c r="H49" s="43" t="str">
        <x:v>喜茶上海炒冰实验室+</x:v>
      </x:c>
      <x:c r="I49" s="43" t="str">
        <x:v>仅品牌态度或企业事务</x:v>
      </x:c>
      <x:c r="J49" s="109" t="str">
        <x:v>event</x:v>
      </x:c>
      <x:c r="K49" s="109" t="str">
        <x:v>brand</x:v>
      </x:c>
      <x:c r="L49" s="109" t="str">
        <x:v>multi</x:v>
      </x:c>
      <x:c r="M49" s="43" t="str">
        <x:v>品类规则+V1.2复核</x:v>
      </x:c>
      <x:c r="N49" s="43" t="str">
        <x:v>官方正文明确</x:v>
      </x:c>
      <x:c r="O49" s="109" t="str">
        <x:v>active</x:v>
      </x:c>
      <x:c r="P49" s="109" t="str">
        <x:v>bi-tag-rule-v1.2</x:v>
      </x:c>
      <x:c r="Q49" s="193" t="n">
        <x:v>46224</x:v>
      </x:c>
      <x:c r="R49" s="43" t="str">
        <x:v>V1.2补齐事实表已引用的正式品类标签</x:v>
      </x:c>
    </x:row>
    <x:row r="50" ht="52" customHeight="1">
      <x:c r="A50" s="109" t="str">
        <x:v>promotion-buy-one-get-one</x:v>
      </x:c>
      <x:c r="B50" s="109" t="str">
        <x:v>买一送一</x:v>
      </x:c>
      <x:c r="C50" s="109" t="str">
        <x:v>促销机制</x:v>
      </x:c>
      <x:c r="D50" s="109"/>
      <x:c r="E50" s="43" t="str">
        <x:v>促销机制：买一送一</x:v>
      </x:c>
      <x:c r="F50" s="43" t="str">
        <x:v>正文或已核实证据明确出现买一送一</x:v>
      </x:c>
      <x:c r="G50" s="43" t="str">
        <x:v>标题误命中、评论猜测或无可打开证据</x:v>
      </x:c>
      <x:c r="H50" s="43" t="str">
        <x:v>见对应事实表</x:v>
      </x:c>
      <x:c r="I50" s="43" t="str">
        <x:v>无证据推断</x:v>
      </x:c>
      <x:c r="J50" s="109" t="str">
        <x:v>promotion</x:v>
      </x:c>
      <x:c r="K50" s="109" t="str">
        <x:v>brand/third_party</x:v>
      </x:c>
      <x:c r="L50" s="109" t="str">
        <x:v>single</x:v>
      </x:c>
      <x:c r="M50" s="43" t="str">
        <x:v>规则+人工复核</x:v>
      </x:c>
      <x:c r="N50" s="43" t="str">
        <x:v>明确证据</x:v>
      </x:c>
      <x:c r="O50" s="109" t="str">
        <x:v>active</x:v>
      </x:c>
      <x:c r="P50" s="109" t="str">
        <x:v>bi-tag-rule-v1.2</x:v>
      </x:c>
      <x:c r="Q50" s="193" t="n">
        <x:v>46224</x:v>
      </x:c>
      <x:c r="R50" s="43" t="str">
        <x:v>V1.2新增</x:v>
      </x:c>
    </x:row>
    <x:row r="51" ht="52" customHeight="1">
      <x:c r="A51" s="109" t="str">
        <x:v>promotion-coupon</x:v>
      </x:c>
      <x:c r="B51" s="109" t="str">
        <x:v>优惠券</x:v>
      </x:c>
      <x:c r="C51" s="109" t="str">
        <x:v>促销机制</x:v>
      </x:c>
      <x:c r="D51" s="109"/>
      <x:c r="E51" s="43" t="str">
        <x:v>促销机制：优惠券</x:v>
      </x:c>
      <x:c r="F51" s="43" t="str">
        <x:v>正文或已核实证据明确出现优惠券</x:v>
      </x:c>
      <x:c r="G51" s="43" t="str">
        <x:v>标题误命中、评论猜测或无可打开证据</x:v>
      </x:c>
      <x:c r="H51" s="43" t="str">
        <x:v>见对应事实表</x:v>
      </x:c>
      <x:c r="I51" s="43" t="str">
        <x:v>无证据推断</x:v>
      </x:c>
      <x:c r="J51" s="109" t="str">
        <x:v>promotion</x:v>
      </x:c>
      <x:c r="K51" s="109" t="str">
        <x:v>brand/third_party</x:v>
      </x:c>
      <x:c r="L51" s="109" t="str">
        <x:v>single</x:v>
      </x:c>
      <x:c r="M51" s="43" t="str">
        <x:v>规则+人工复核</x:v>
      </x:c>
      <x:c r="N51" s="43" t="str">
        <x:v>明确证据</x:v>
      </x:c>
      <x:c r="O51" s="109" t="str">
        <x:v>active</x:v>
      </x:c>
      <x:c r="P51" s="109" t="str">
        <x:v>bi-tag-rule-v1.2</x:v>
      </x:c>
      <x:c r="Q51" s="193" t="n">
        <x:v>46224</x:v>
      </x:c>
      <x:c r="R51" s="43" t="str">
        <x:v>V1.2新增</x:v>
      </x:c>
    </x:row>
    <x:row r="52" ht="52" customHeight="1">
      <x:c r="A52" s="109" t="str">
        <x:v>promotion-gift</x:v>
      </x:c>
      <x:c r="B52" s="109" t="str">
        <x:v>赠品</x:v>
      </x:c>
      <x:c r="C52" s="109" t="str">
        <x:v>促销机制</x:v>
      </x:c>
      <x:c r="D52" s="109"/>
      <x:c r="E52" s="43" t="str">
        <x:v>促销机制：赠品</x:v>
      </x:c>
      <x:c r="F52" s="43" t="str">
        <x:v>正文或已核实证据明确出现赠品</x:v>
      </x:c>
      <x:c r="G52" s="43" t="str">
        <x:v>标题误命中、评论猜测或无可打开证据</x:v>
      </x:c>
      <x:c r="H52" s="43" t="str">
        <x:v>见对应事实表</x:v>
      </x:c>
      <x:c r="I52" s="43" t="str">
        <x:v>无证据推断</x:v>
      </x:c>
      <x:c r="J52" s="109" t="str">
        <x:v>promotion</x:v>
      </x:c>
      <x:c r="K52" s="109" t="str">
        <x:v>brand/third_party</x:v>
      </x:c>
      <x:c r="L52" s="109" t="str">
        <x:v>single</x:v>
      </x:c>
      <x:c r="M52" s="43" t="str">
        <x:v>规则+人工复核</x:v>
      </x:c>
      <x:c r="N52" s="43" t="str">
        <x:v>明确证据</x:v>
      </x:c>
      <x:c r="O52" s="109" t="str">
        <x:v>active</x:v>
      </x:c>
      <x:c r="P52" s="109" t="str">
        <x:v>bi-tag-rule-v1.2</x:v>
      </x:c>
      <x:c r="Q52" s="193" t="n">
        <x:v>46224</x:v>
      </x:c>
      <x:c r="R52" s="43" t="str">
        <x:v>V1.2新增</x:v>
      </x:c>
    </x:row>
    <x:row r="53" ht="52" customHeight="1">
      <x:c r="A53" s="109" t="str">
        <x:v>promotion-fixed-price</x:v>
      </x:c>
      <x:c r="B53" s="109" t="str">
        <x:v>限时一口价</x:v>
      </x:c>
      <x:c r="C53" s="109" t="str">
        <x:v>促销机制</x:v>
      </x:c>
      <x:c r="D53" s="109"/>
      <x:c r="E53" s="43" t="str">
        <x:v>促销机制：限时一口价</x:v>
      </x:c>
      <x:c r="F53" s="43" t="str">
        <x:v>正文或已核实证据明确出现限时一口价</x:v>
      </x:c>
      <x:c r="G53" s="43" t="str">
        <x:v>标题误命中、评论猜测或无可打开证据</x:v>
      </x:c>
      <x:c r="H53" s="43" t="str">
        <x:v>见对应事实表</x:v>
      </x:c>
      <x:c r="I53" s="43" t="str">
        <x:v>无证据推断</x:v>
      </x:c>
      <x:c r="J53" s="109" t="str">
        <x:v>promotion</x:v>
      </x:c>
      <x:c r="K53" s="109" t="str">
        <x:v>brand/third_party</x:v>
      </x:c>
      <x:c r="L53" s="109" t="str">
        <x:v>single</x:v>
      </x:c>
      <x:c r="M53" s="43" t="str">
        <x:v>规则+人工复核</x:v>
      </x:c>
      <x:c r="N53" s="43" t="str">
        <x:v>明确证据</x:v>
      </x:c>
      <x:c r="O53" s="109" t="str">
        <x:v>active</x:v>
      </x:c>
      <x:c r="P53" s="109" t="str">
        <x:v>bi-tag-rule-v1.2</x:v>
      </x:c>
      <x:c r="Q53" s="193" t="n">
        <x:v>46224</x:v>
      </x:c>
      <x:c r="R53" s="43" t="str">
        <x:v>V1.2新增</x:v>
      </x:c>
    </x:row>
    <x:row r="54" ht="52" customHeight="1">
      <x:c r="A54" s="109" t="str">
        <x:v>promotion-pass-card</x:v>
      </x:c>
      <x:c r="B54" s="109" t="str">
        <x:v>阶梯次卡</x:v>
      </x:c>
      <x:c r="C54" s="109" t="str">
        <x:v>促销机制</x:v>
      </x:c>
      <x:c r="D54" s="109"/>
      <x:c r="E54" s="43" t="str">
        <x:v>促销机制：阶梯次卡</x:v>
      </x:c>
      <x:c r="F54" s="43" t="str">
        <x:v>正文或已核实证据明确出现阶梯次卡</x:v>
      </x:c>
      <x:c r="G54" s="43" t="str">
        <x:v>标题误命中、评论猜测或无可打开证据</x:v>
      </x:c>
      <x:c r="H54" s="43" t="str">
        <x:v>见对应事实表</x:v>
      </x:c>
      <x:c r="I54" s="43" t="str">
        <x:v>无证据推断</x:v>
      </x:c>
      <x:c r="J54" s="109" t="str">
        <x:v>promotion</x:v>
      </x:c>
      <x:c r="K54" s="109" t="str">
        <x:v>brand/third_party</x:v>
      </x:c>
      <x:c r="L54" s="109" t="str">
        <x:v>single</x:v>
      </x:c>
      <x:c r="M54" s="43" t="str">
        <x:v>规则+人工复核</x:v>
      </x:c>
      <x:c r="N54" s="43" t="str">
        <x:v>明确证据</x:v>
      </x:c>
      <x:c r="O54" s="109" t="str">
        <x:v>active</x:v>
      </x:c>
      <x:c r="P54" s="109" t="str">
        <x:v>bi-tag-rule-v1.2</x:v>
      </x:c>
      <x:c r="Q54" s="193" t="n">
        <x:v>46224</x:v>
      </x:c>
      <x:c r="R54" s="43" t="str">
        <x:v>V1.2新增</x:v>
      </x:c>
    </x:row>
    <x:row r="55" ht="52" customHeight="1">
      <x:c r="A55" s="109" t="str">
        <x:v>source-brand</x:v>
      </x:c>
      <x:c r="B55" s="109" t="str">
        <x:v>品牌</x:v>
      </x:c>
      <x:c r="C55" s="109" t="str">
        <x:v>来源类型</x:v>
      </x:c>
      <x:c r="D55" s="109"/>
      <x:c r="E55" s="43" t="str">
        <x:v>分析来源层：品牌</x:v>
      </x:c>
      <x:c r="F55" s="43" t="str">
        <x:v>analysis_source_class=brand</x:v>
      </x:c>
      <x:c r="G55" s="43" t="str">
        <x:v>不得覆盖来源登记原始类型</x:v>
      </x:c>
      <x:c r="H55" s="43" t="str">
        <x:v>见对应事实表</x:v>
      </x:c>
      <x:c r="I55" s="43" t="str">
        <x:v>无证据推断</x:v>
      </x:c>
      <x:c r="J55" s="109" t="str">
        <x:v>account/post</x:v>
      </x:c>
      <x:c r="K55" s="109" t="str">
        <x:v>all</x:v>
      </x:c>
      <x:c r="L55" s="109" t="str">
        <x:v>single</x:v>
      </x:c>
      <x:c r="M55" s="43" t="str">
        <x:v>规则+人工复核</x:v>
      </x:c>
      <x:c r="N55" s="43" t="str">
        <x:v>明确证据</x:v>
      </x:c>
      <x:c r="O55" s="109" t="str">
        <x:v>active</x:v>
      </x:c>
      <x:c r="P55" s="109" t="str">
        <x:v>bi-tag-rule-v1.2</x:v>
      </x:c>
      <x:c r="Q55" s="193" t="n">
        <x:v>46224</x:v>
      </x:c>
      <x:c r="R55" s="43" t="str">
        <x:v>V1.2新增</x:v>
      </x:c>
    </x:row>
    <x:row r="56" ht="52" customHeight="1">
      <x:c r="A56" s="109" t="str">
        <x:v>source-third-party</x:v>
      </x:c>
      <x:c r="B56" s="109" t="str">
        <x:v>三方</x:v>
      </x:c>
      <x:c r="C56" s="109" t="str">
        <x:v>来源类型</x:v>
      </x:c>
      <x:c r="D56" s="109"/>
      <x:c r="E56" s="43" t="str">
        <x:v>分析来源层：三方</x:v>
      </x:c>
      <x:c r="F56" s="43" t="str">
        <x:v>analysis_source_class=third-party</x:v>
      </x:c>
      <x:c r="G56" s="43" t="str">
        <x:v>不得覆盖来源登记原始类型</x:v>
      </x:c>
      <x:c r="H56" s="43" t="str">
        <x:v>见对应事实表</x:v>
      </x:c>
      <x:c r="I56" s="43" t="str">
        <x:v>无证据推断</x:v>
      </x:c>
      <x:c r="J56" s="109" t="str">
        <x:v>account/post</x:v>
      </x:c>
      <x:c r="K56" s="109" t="str">
        <x:v>all</x:v>
      </x:c>
      <x:c r="L56" s="109" t="str">
        <x:v>single</x:v>
      </x:c>
      <x:c r="M56" s="43" t="str">
        <x:v>规则+人工复核</x:v>
      </x:c>
      <x:c r="N56" s="43" t="str">
        <x:v>明确证据</x:v>
      </x:c>
      <x:c r="O56" s="109" t="str">
        <x:v>active</x:v>
      </x:c>
      <x:c r="P56" s="109" t="str">
        <x:v>bi-tag-rule-v1.2</x:v>
      </x:c>
      <x:c r="Q56" s="193" t="n">
        <x:v>46224</x:v>
      </x:c>
      <x:c r="R56" s="43" t="str">
        <x:v>V1.2新增</x:v>
      </x:c>
    </x:row>
    <x:row r="57" ht="52" customHeight="1">
      <x:c r="A57" s="109" t="str">
        <x:v>source-koc</x:v>
      </x:c>
      <x:c r="B57" s="109" t="str">
        <x:v>KOC</x:v>
      </x:c>
      <x:c r="C57" s="109" t="str">
        <x:v>来源类型</x:v>
      </x:c>
      <x:c r="D57" s="109"/>
      <x:c r="E57" s="43" t="str">
        <x:v>分析来源层：KOC</x:v>
      </x:c>
      <x:c r="F57" s="43" t="str">
        <x:v>analysis_source_class=koc</x:v>
      </x:c>
      <x:c r="G57" s="43" t="str">
        <x:v>不得覆盖来源登记原始类型</x:v>
      </x:c>
      <x:c r="H57" s="43" t="str">
        <x:v>见对应事实表</x:v>
      </x:c>
      <x:c r="I57" s="43" t="str">
        <x:v>无证据推断</x:v>
      </x:c>
      <x:c r="J57" s="109" t="str">
        <x:v>account/post</x:v>
      </x:c>
      <x:c r="K57" s="109" t="str">
        <x:v>all</x:v>
      </x:c>
      <x:c r="L57" s="109" t="str">
        <x:v>single</x:v>
      </x:c>
      <x:c r="M57" s="43" t="str">
        <x:v>规则+人工复核</x:v>
      </x:c>
      <x:c r="N57" s="43" t="str">
        <x:v>明确证据</x:v>
      </x:c>
      <x:c r="O57" s="109" t="str">
        <x:v>active</x:v>
      </x:c>
      <x:c r="P57" s="109" t="str">
        <x:v>bi-tag-rule-v1.2</x:v>
      </x:c>
      <x:c r="Q57" s="193" t="n">
        <x:v>46224</x:v>
      </x:c>
      <x:c r="R57" s="43" t="str">
        <x:v>V1.2新增</x:v>
      </x:c>
    </x:row>
    <x:row r="58" ht="52" customHeight="1">
      <x:c r="A58" s="110" t="str">
        <x:v>source-editorial</x:v>
      </x:c>
      <x:c r="B58" s="110" t="str">
        <x:v>编辑热点</x:v>
      </x:c>
      <x:c r="C58" s="110" t="str">
        <x:v>来源类型</x:v>
      </x:c>
      <x:c r="D58" s="110"/>
      <x:c r="E58" s="44" t="str">
        <x:v>分析来源层：编辑热点</x:v>
      </x:c>
      <x:c r="F58" s="44" t="str">
        <x:v>analysis_source_class=editorial</x:v>
      </x:c>
      <x:c r="G58" s="44" t="str">
        <x:v>不得覆盖来源登记原始类型</x:v>
      </x:c>
      <x:c r="H58" s="44" t="str">
        <x:v>见对应事实表</x:v>
      </x:c>
      <x:c r="I58" s="44" t="str">
        <x:v>无证据推断</x:v>
      </x:c>
      <x:c r="J58" s="110" t="str">
        <x:v>account/post</x:v>
      </x:c>
      <x:c r="K58" s="110" t="str">
        <x:v>all</x:v>
      </x:c>
      <x:c r="L58" s="110" t="str">
        <x:v>single</x:v>
      </x:c>
      <x:c r="M58" s="44" t="str">
        <x:v>规则+人工复核</x:v>
      </x:c>
      <x:c r="N58" s="44" t="str">
        <x:v>明确证据</x:v>
      </x:c>
      <x:c r="O58" s="110" t="str">
        <x:v>active</x:v>
      </x:c>
      <x:c r="P58" s="110" t="str">
        <x:v>bi-tag-rule-v1.2</x:v>
      </x:c>
      <x:c r="Q58" s="194" t="n">
        <x:v>46224</x:v>
      </x:c>
      <x:c r="R58" s="44" t="str">
        <x:v>V1.2新增</x:v>
      </x:c>
    </x:row>
  </x:sheetData>
  <x:mergeCells>
    <x:mergeCell ref="A1:R1"/>
    <x:mergeCell ref="A2:R2"/>
  </x:mergeCells>
  <x:conditionalFormatting sqref="O5:O58">
    <x:cfRule type="containsText" dxfId="18" priority="1" operator="containsText" text="approved"/>
    <x:cfRule type="containsText" dxfId="19" priority="2" operator="containsText" text="needs"/>
    <x:cfRule type="containsText" dxfId="20" priority="3" operator="containsText" text="provisional"/>
  </x:conditionalFormatting>
  <x:pageMargins left="0.7" right="0.7" top="0.75" bottom="0.75" header="0.3" footer="0.3"/>
  <x:tableParts count="1">
    <x:tablePart xmlns:r="http://schemas.openxmlformats.org/officeDocument/2006/relationships" r:id="Rfd01f0d05cc24a3f"/>
  </x:tableParts>
</x:worksheet>
</file>